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6.xml" ContentType="application/vnd.openxmlformats-officedocument.themeOverride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7.xml" ContentType="application/vnd.openxmlformats-officedocument.themeOverride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8.xml" ContentType="application/vnd.openxmlformats-officedocument.themeOverride+xml"/>
  <Override PartName="/xl/charts/chart1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9.xml" ContentType="application/vnd.openxmlformats-officedocument.themeOverride+xml"/>
  <Override PartName="/xl/charts/chart1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0.xml" ContentType="application/vnd.openxmlformats-officedocument.themeOverride+xml"/>
  <Override PartName="/xl/charts/chart1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ussellhung\Desktop\DENKER 骏佳集团2019入店辅导_IOC\湖南骏佳\R2_1009\"/>
    </mc:Choice>
  </mc:AlternateContent>
  <bookViews>
    <workbookView xWindow="0" yWindow="240" windowWidth="20730" windowHeight="10005"/>
  </bookViews>
  <sheets>
    <sheet name="运的部份" sheetId="1" r:id="rId1"/>
    <sheet name="财的部份" sheetId="4" r:id="rId2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3" i="4" l="1"/>
  <c r="AJ44" i="4"/>
  <c r="AI44" i="4"/>
  <c r="AI43" i="4"/>
  <c r="AJ38" i="4"/>
  <c r="AJ39" i="4"/>
  <c r="AJ42" i="4"/>
  <c r="AI42" i="4"/>
  <c r="AI41" i="4"/>
  <c r="AI39" i="4"/>
  <c r="AI38" i="4"/>
  <c r="AI35" i="4"/>
  <c r="AH35" i="4"/>
  <c r="AI34" i="4"/>
  <c r="AI33" i="4"/>
  <c r="AH34" i="4"/>
  <c r="AH33" i="4"/>
  <c r="AH31" i="4"/>
  <c r="AH30" i="4"/>
  <c r="AH29" i="4"/>
  <c r="AE22" i="4"/>
  <c r="AE27" i="4"/>
  <c r="AI22" i="4"/>
  <c r="AI31" i="4"/>
  <c r="AI30" i="4"/>
  <c r="AI29" i="4"/>
  <c r="AH27" i="4"/>
  <c r="E31" i="4"/>
  <c r="AH21" i="4"/>
  <c r="AH26" i="4"/>
  <c r="AH25" i="4"/>
  <c r="AE21" i="4"/>
  <c r="AE26" i="4"/>
  <c r="AI21" i="4"/>
  <c r="AI27" i="4"/>
  <c r="AI26" i="4"/>
  <c r="AI25" i="4"/>
  <c r="AE20" i="4"/>
  <c r="AE25" i="4"/>
  <c r="AI20" i="4"/>
  <c r="AI23" i="4"/>
  <c r="AH23" i="4"/>
  <c r="AH22" i="4"/>
  <c r="AH20" i="4"/>
  <c r="AE17" i="4"/>
  <c r="AI17" i="4"/>
  <c r="AE15" i="4"/>
  <c r="AI15" i="4"/>
  <c r="AI18" i="4"/>
  <c r="AE16" i="4"/>
  <c r="AI16" i="4"/>
  <c r="AH18" i="4"/>
  <c r="AH17" i="4"/>
  <c r="AH16" i="4"/>
  <c r="AH15" i="4"/>
  <c r="X18" i="4"/>
  <c r="AE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E22" i="4"/>
  <c r="E20" i="4"/>
  <c r="E24" i="4"/>
  <c r="AE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E21" i="4"/>
  <c r="E23" i="4"/>
  <c r="AE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E27" i="4"/>
  <c r="E25" i="4"/>
  <c r="E29" i="4"/>
  <c r="AE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E26" i="4"/>
  <c r="E28" i="4"/>
  <c r="F19" i="4"/>
  <c r="F18" i="4"/>
  <c r="E15" i="4"/>
  <c r="S18" i="4"/>
  <c r="T18" i="4"/>
  <c r="U18" i="4"/>
  <c r="V18" i="4"/>
  <c r="W18" i="4"/>
  <c r="Y18" i="4"/>
  <c r="Z18" i="4"/>
  <c r="AA18" i="4"/>
  <c r="AB18" i="4"/>
  <c r="AC18" i="4"/>
  <c r="S19" i="4"/>
  <c r="T19" i="4"/>
  <c r="U19" i="4"/>
  <c r="V19" i="4"/>
  <c r="W19" i="4"/>
  <c r="X19" i="4"/>
  <c r="Y19" i="4"/>
  <c r="Z19" i="4"/>
  <c r="AA19" i="4"/>
  <c r="AB19" i="4"/>
  <c r="AC19" i="4"/>
  <c r="R18" i="4"/>
  <c r="R19" i="4"/>
  <c r="S33" i="4"/>
  <c r="T33" i="4"/>
  <c r="U33" i="4"/>
  <c r="V33" i="4"/>
  <c r="W33" i="4"/>
  <c r="X33" i="4"/>
  <c r="Y33" i="4"/>
  <c r="Z33" i="4"/>
  <c r="AA33" i="4"/>
  <c r="AB33" i="4"/>
  <c r="AC33" i="4"/>
  <c r="S34" i="4"/>
  <c r="T34" i="4"/>
  <c r="U34" i="4"/>
  <c r="V34" i="4"/>
  <c r="W34" i="4"/>
  <c r="X34" i="4"/>
  <c r="Y34" i="4"/>
  <c r="Z34" i="4"/>
  <c r="AA34" i="4"/>
  <c r="AB34" i="4"/>
  <c r="AC34" i="4"/>
  <c r="R33" i="4"/>
  <c r="R34" i="4"/>
  <c r="S38" i="4"/>
  <c r="T38" i="4"/>
  <c r="U38" i="4"/>
  <c r="V38" i="4"/>
  <c r="W38" i="4"/>
  <c r="X38" i="4"/>
  <c r="Y38" i="4"/>
  <c r="Z38" i="4"/>
  <c r="AA38" i="4"/>
  <c r="AB38" i="4"/>
  <c r="AC38" i="4"/>
  <c r="R38" i="4"/>
  <c r="G19" i="4"/>
  <c r="H19" i="4"/>
  <c r="I19" i="4"/>
  <c r="J19" i="4"/>
  <c r="K19" i="4"/>
  <c r="L19" i="4"/>
  <c r="M19" i="4"/>
  <c r="N19" i="4"/>
  <c r="O19" i="4"/>
  <c r="P19" i="4"/>
  <c r="Q19" i="4"/>
  <c r="G18" i="4"/>
  <c r="H18" i="4"/>
  <c r="I18" i="4"/>
  <c r="J18" i="4"/>
  <c r="K18" i="4"/>
  <c r="L18" i="4"/>
  <c r="M18" i="4"/>
  <c r="N18" i="4"/>
  <c r="O18" i="4"/>
  <c r="P18" i="4"/>
  <c r="Q18" i="4"/>
  <c r="G34" i="4"/>
  <c r="H34" i="4"/>
  <c r="I34" i="4"/>
  <c r="J34" i="4"/>
  <c r="K34" i="4"/>
  <c r="L34" i="4"/>
  <c r="M34" i="4"/>
  <c r="N34" i="4"/>
  <c r="O34" i="4"/>
  <c r="P34" i="4"/>
  <c r="Q34" i="4"/>
  <c r="G33" i="4"/>
  <c r="H33" i="4"/>
  <c r="I33" i="4"/>
  <c r="J33" i="4"/>
  <c r="K33" i="4"/>
  <c r="L33" i="4"/>
  <c r="M33" i="4"/>
  <c r="N33" i="4"/>
  <c r="O33" i="4"/>
  <c r="P33" i="4"/>
  <c r="Q33" i="4"/>
  <c r="G38" i="4"/>
  <c r="H38" i="4"/>
  <c r="I38" i="4"/>
  <c r="J38" i="4"/>
  <c r="K38" i="4"/>
  <c r="L38" i="4"/>
  <c r="M38" i="4"/>
  <c r="N38" i="4"/>
  <c r="O38" i="4"/>
  <c r="P38" i="4"/>
  <c r="Q38" i="4"/>
  <c r="F38" i="4"/>
  <c r="AE39" i="4"/>
  <c r="E39" i="4"/>
  <c r="AE37" i="4"/>
  <c r="E37" i="4"/>
  <c r="AE36" i="4"/>
  <c r="E36" i="4"/>
  <c r="AE35" i="4"/>
  <c r="E35" i="4"/>
  <c r="AE32" i="4"/>
  <c r="E32" i="4"/>
  <c r="AE31" i="4"/>
  <c r="AE30" i="4"/>
  <c r="AE34" i="4"/>
  <c r="E30" i="4"/>
  <c r="E17" i="4"/>
  <c r="E16" i="4"/>
  <c r="AE15" i="1"/>
  <c r="AE14" i="1"/>
  <c r="AE26" i="1"/>
  <c r="AE25" i="1"/>
  <c r="AE24" i="1"/>
  <c r="AE23" i="1"/>
  <c r="AE22" i="1"/>
  <c r="AE20" i="1"/>
  <c r="AE19" i="1"/>
  <c r="AE18" i="1"/>
  <c r="AE16" i="1"/>
  <c r="AC32" i="1"/>
  <c r="AB32" i="1"/>
  <c r="AA32" i="1"/>
  <c r="AC31" i="1"/>
  <c r="AB31" i="1"/>
  <c r="AA31" i="1"/>
  <c r="AC30" i="1"/>
  <c r="AB30" i="1"/>
  <c r="AA30" i="1"/>
  <c r="AC29" i="1"/>
  <c r="AB29" i="1"/>
  <c r="AA29" i="1"/>
  <c r="AC28" i="1"/>
  <c r="AB28" i="1"/>
  <c r="AA28" i="1"/>
  <c r="AC27" i="1"/>
  <c r="AB27" i="1"/>
  <c r="AA27" i="1"/>
  <c r="AC21" i="1"/>
  <c r="AB21" i="1"/>
  <c r="AA21" i="1"/>
  <c r="AC17" i="1"/>
  <c r="AB17" i="1"/>
  <c r="AA17" i="1"/>
  <c r="E26" i="1"/>
  <c r="E25" i="1"/>
  <c r="E24" i="1"/>
  <c r="E23" i="1"/>
  <c r="E22" i="1"/>
  <c r="E20" i="1"/>
  <c r="E19" i="1"/>
  <c r="E18" i="1"/>
  <c r="E16" i="1"/>
  <c r="E15" i="1"/>
  <c r="E14" i="1"/>
  <c r="K32" i="1"/>
  <c r="J32" i="1"/>
  <c r="I32" i="1"/>
  <c r="H32" i="1"/>
  <c r="G32" i="1"/>
  <c r="F32" i="1"/>
  <c r="K31" i="1"/>
  <c r="J31" i="1"/>
  <c r="I31" i="1"/>
  <c r="H31" i="1"/>
  <c r="G31" i="1"/>
  <c r="F31" i="1"/>
  <c r="K30" i="1"/>
  <c r="J30" i="1"/>
  <c r="I30" i="1"/>
  <c r="H30" i="1"/>
  <c r="G30" i="1"/>
  <c r="F30" i="1"/>
  <c r="K29" i="1"/>
  <c r="J29" i="1"/>
  <c r="I29" i="1"/>
  <c r="H29" i="1"/>
  <c r="G29" i="1"/>
  <c r="F29" i="1"/>
  <c r="K28" i="1"/>
  <c r="J28" i="1"/>
  <c r="I28" i="1"/>
  <c r="H28" i="1"/>
  <c r="G28" i="1"/>
  <c r="F28" i="1"/>
  <c r="K27" i="1"/>
  <c r="J27" i="1"/>
  <c r="I27" i="1"/>
  <c r="H27" i="1"/>
  <c r="G27" i="1"/>
  <c r="F27" i="1"/>
  <c r="K21" i="1"/>
  <c r="J21" i="1"/>
  <c r="I21" i="1"/>
  <c r="H21" i="1"/>
  <c r="G21" i="1"/>
  <c r="F21" i="1"/>
  <c r="K17" i="1"/>
  <c r="J17" i="1"/>
  <c r="I17" i="1"/>
  <c r="H17" i="1"/>
  <c r="G17" i="1"/>
  <c r="F17" i="1"/>
  <c r="L30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AE17" i="1"/>
  <c r="AE31" i="1"/>
  <c r="AE29" i="1"/>
  <c r="AD24" i="1"/>
  <c r="AD25" i="1"/>
  <c r="AE30" i="1"/>
  <c r="AE32" i="1"/>
  <c r="AE21" i="1"/>
  <c r="AE28" i="1"/>
  <c r="AE27" i="1"/>
  <c r="E32" i="1"/>
  <c r="D24" i="1"/>
  <c r="D25" i="1"/>
  <c r="E30" i="1"/>
  <c r="E31" i="1"/>
  <c r="D19" i="1"/>
  <c r="E21" i="1"/>
  <c r="E29" i="1"/>
  <c r="E28" i="1"/>
  <c r="E17" i="1"/>
  <c r="D18" i="1"/>
  <c r="D15" i="1"/>
  <c r="D20" i="1"/>
  <c r="E27" i="1"/>
  <c r="AD15" i="1"/>
  <c r="AD20" i="1"/>
  <c r="AD18" i="1"/>
  <c r="AD19" i="1"/>
  <c r="AE38" i="4"/>
  <c r="AE33" i="4"/>
  <c r="AE18" i="4"/>
  <c r="E34" i="4"/>
  <c r="E33" i="4"/>
  <c r="E18" i="4"/>
  <c r="AE19" i="4"/>
  <c r="E38" i="4"/>
  <c r="E19" i="4"/>
</calcChain>
</file>

<file path=xl/sharedStrings.xml><?xml version="1.0" encoding="utf-8"?>
<sst xmlns="http://schemas.openxmlformats.org/spreadsheetml/2006/main" count="177" uniqueCount="113">
  <si>
    <t>本品置换率</t>
  </si>
  <si>
    <t>本品置换量</t>
  </si>
  <si>
    <t>综合置换率</t>
  </si>
  <si>
    <t>综合置换量</t>
  </si>
  <si>
    <t>本品评估数总计</t>
  </si>
  <si>
    <t>首次进店评估率</t>
  </si>
  <si>
    <t>数据统计</t>
  </si>
  <si>
    <t>回购数</t>
  </si>
  <si>
    <t>本品置换数</t>
  </si>
  <si>
    <t>本品评估数</t>
  </si>
  <si>
    <t>进厂台次</t>
  </si>
  <si>
    <t>售后</t>
  </si>
  <si>
    <t>异品置换数</t>
  </si>
  <si>
    <t>总置换数</t>
  </si>
  <si>
    <t>线索跟进数</t>
  </si>
  <si>
    <t>异品评估数</t>
  </si>
  <si>
    <t>评估数</t>
  </si>
  <si>
    <t>新车</t>
  </si>
  <si>
    <t>KPI</t>
  </si>
  <si>
    <t>业务单元</t>
  </si>
  <si>
    <t>二手车置换数据统计</t>
  </si>
  <si>
    <t>*置换日期统计：以新车发票日期为准。如，客户将原车辆3月1日寄售在店内，购买的新车开票日期为3月15日，则置换日期为3月15日；</t>
  </si>
  <si>
    <t>城市：</t>
  </si>
  <si>
    <t>经销商名称：</t>
  </si>
  <si>
    <t>经销商集团：</t>
  </si>
  <si>
    <t>区域：</t>
  </si>
  <si>
    <t xml:space="preserve">                               </t>
    <phoneticPr fontId="5" type="noConversion"/>
  </si>
  <si>
    <r>
      <t>7月</t>
    </r>
    <r>
      <rPr>
        <sz val="11"/>
        <color theme="0"/>
        <rFont val="宋体"/>
        <family val="3"/>
        <charset val="134"/>
      </rPr>
      <t/>
    </r>
  </si>
  <si>
    <r>
      <t>8月</t>
    </r>
    <r>
      <rPr>
        <sz val="11"/>
        <color theme="0"/>
        <rFont val="宋体"/>
        <family val="3"/>
        <charset val="134"/>
      </rPr>
      <t/>
    </r>
  </si>
  <si>
    <r>
      <t>9月</t>
    </r>
    <r>
      <rPr>
        <sz val="11"/>
        <color theme="0"/>
        <rFont val="宋体"/>
        <family val="3"/>
        <charset val="134"/>
      </rPr>
      <t/>
    </r>
  </si>
  <si>
    <r>
      <t>10月</t>
    </r>
    <r>
      <rPr>
        <sz val="11"/>
        <color theme="0"/>
        <rFont val="宋体"/>
        <family val="3"/>
        <charset val="134"/>
      </rPr>
      <t/>
    </r>
  </si>
  <si>
    <r>
      <t>11月</t>
    </r>
    <r>
      <rPr>
        <sz val="11"/>
        <color theme="0"/>
        <rFont val="宋体"/>
        <family val="3"/>
        <charset val="134"/>
      </rPr>
      <t/>
    </r>
  </si>
  <si>
    <r>
      <t>12月</t>
    </r>
    <r>
      <rPr>
        <sz val="11"/>
        <color theme="0"/>
        <rFont val="宋体"/>
        <family val="3"/>
        <charset val="134"/>
      </rPr>
      <t/>
    </r>
  </si>
  <si>
    <r>
      <t>1</t>
    </r>
    <r>
      <rPr>
        <sz val="11"/>
        <color theme="0"/>
        <rFont val="宋体"/>
        <family val="3"/>
        <charset val="134"/>
      </rPr>
      <t>月</t>
    </r>
    <phoneticPr fontId="2" type="noConversion"/>
  </si>
  <si>
    <r>
      <t>2月</t>
    </r>
    <r>
      <rPr>
        <sz val="11"/>
        <color theme="0"/>
        <rFont val="宋体"/>
        <family val="3"/>
        <charset val="134"/>
      </rPr>
      <t/>
    </r>
  </si>
  <si>
    <r>
      <t>3月</t>
    </r>
    <r>
      <rPr>
        <sz val="11"/>
        <color theme="0"/>
        <rFont val="宋体"/>
        <family val="3"/>
        <charset val="134"/>
      </rPr>
      <t/>
    </r>
  </si>
  <si>
    <r>
      <t>4月</t>
    </r>
    <r>
      <rPr>
        <sz val="11"/>
        <color theme="0"/>
        <rFont val="宋体"/>
        <family val="3"/>
        <charset val="134"/>
      </rPr>
      <t/>
    </r>
  </si>
  <si>
    <r>
      <t>5月</t>
    </r>
    <r>
      <rPr>
        <sz val="11"/>
        <color theme="0"/>
        <rFont val="宋体"/>
        <family val="3"/>
        <charset val="134"/>
      </rPr>
      <t/>
    </r>
  </si>
  <si>
    <r>
      <t>6月</t>
    </r>
    <r>
      <rPr>
        <sz val="11"/>
        <color theme="0"/>
        <rFont val="宋体"/>
        <family val="3"/>
        <charset val="134"/>
      </rPr>
      <t/>
    </r>
  </si>
  <si>
    <t>Y2018</t>
    <phoneticPr fontId="2" type="noConversion"/>
  </si>
  <si>
    <r>
      <t>*</t>
    </r>
    <r>
      <rPr>
        <b/>
        <sz val="12"/>
        <color rgb="FFFF0000"/>
        <rFont val="宋体"/>
        <family val="3"/>
        <charset val="134"/>
      </rPr>
      <t>置换数包括：寄售</t>
    </r>
    <r>
      <rPr>
        <b/>
        <sz val="12"/>
        <color rgb="FFFF0000"/>
        <rFont val="CorpoS"/>
      </rPr>
      <t>/</t>
    </r>
    <r>
      <rPr>
        <b/>
        <sz val="12"/>
        <color rgb="FFFF0000"/>
        <rFont val="宋体"/>
        <family val="3"/>
        <charset val="134"/>
      </rPr>
      <t>过户给公司</t>
    </r>
    <r>
      <rPr>
        <b/>
        <sz val="12"/>
        <color rgb="FFFF0000"/>
        <rFont val="CorpoS"/>
      </rPr>
      <t>/</t>
    </r>
    <r>
      <rPr>
        <b/>
        <sz val="12"/>
        <color rgb="FFFF0000"/>
        <rFont val="宋体"/>
        <family val="3"/>
        <charset val="134"/>
      </rPr>
      <t>过户给特定个人；</t>
    </r>
    <phoneticPr fontId="2" type="noConversion"/>
  </si>
  <si>
    <r>
      <t>*</t>
    </r>
    <r>
      <rPr>
        <b/>
        <sz val="12"/>
        <color rgb="FFFF0000"/>
        <rFont val="宋体"/>
        <family val="3"/>
        <charset val="134"/>
      </rPr>
      <t>新车本品置换数：不包括售后介绍置换客户数；</t>
    </r>
    <phoneticPr fontId="2" type="noConversion"/>
  </si>
  <si>
    <r>
      <t>*</t>
    </r>
    <r>
      <rPr>
        <b/>
        <sz val="12"/>
        <color rgb="FFFF0000"/>
        <rFont val="宋体"/>
        <family val="3"/>
        <charset val="134"/>
      </rPr>
      <t>数据填入单元格：白色空格为经销商人员填入用，灰色空格则不需填入－内设公式自动计算</t>
    </r>
    <r>
      <rPr>
        <b/>
        <sz val="12"/>
        <color rgb="FFFF0000"/>
        <rFont val="CorpoS"/>
      </rPr>
      <t xml:space="preserve"> </t>
    </r>
    <r>
      <rPr>
        <b/>
        <sz val="12"/>
        <color rgb="FFFF0000"/>
        <rFont val="宋体"/>
        <family val="3"/>
        <charset val="134"/>
      </rPr>
      <t>请勿更改；</t>
    </r>
    <phoneticPr fontId="2" type="noConversion"/>
  </si>
  <si>
    <r>
      <t>*</t>
    </r>
    <r>
      <rPr>
        <sz val="11"/>
        <color theme="1"/>
        <rFont val="宋体"/>
        <family val="3"/>
        <charset val="134"/>
      </rPr>
      <t>本品置换数</t>
    </r>
    <r>
      <rPr>
        <b/>
        <sz val="11"/>
        <color theme="1"/>
        <rFont val="宋体"/>
        <family val="3"/>
        <charset val="134"/>
      </rPr>
      <t>（非售后介绍）</t>
    </r>
    <phoneticPr fontId="2" type="noConversion"/>
  </si>
  <si>
    <t>批售</t>
    <phoneticPr fontId="2" type="noConversion"/>
  </si>
  <si>
    <t>当月批售总计金额（元）</t>
    <phoneticPr fontId="2" type="noConversion"/>
  </si>
  <si>
    <t>当月批售毛利总额（元）</t>
    <phoneticPr fontId="2" type="noConversion"/>
  </si>
  <si>
    <t>当月零售总计金额（元）</t>
    <phoneticPr fontId="2" type="noConversion"/>
  </si>
  <si>
    <t>当月零售总计台数（辆）</t>
    <phoneticPr fontId="2" type="noConversion"/>
  </si>
  <si>
    <t>当月批售总计台数（辆）</t>
    <phoneticPr fontId="2" type="noConversion"/>
  </si>
  <si>
    <t>当月零售毛利总额（元）</t>
    <phoneticPr fontId="2" type="noConversion"/>
  </si>
  <si>
    <r>
      <rPr>
        <b/>
        <sz val="11"/>
        <color theme="1"/>
        <rFont val="宋体"/>
        <family val="3"/>
        <charset val="134"/>
      </rPr>
      <t>＊ 批售单车毛利</t>
    </r>
    <r>
      <rPr>
        <sz val="11"/>
        <color theme="1"/>
        <rFont val="宋体"/>
        <family val="3"/>
        <charset val="134"/>
      </rPr>
      <t>（平均）</t>
    </r>
    <phoneticPr fontId="2" type="noConversion"/>
  </si>
  <si>
    <r>
      <rPr>
        <b/>
        <sz val="11"/>
        <color theme="1"/>
        <rFont val="宋体"/>
        <family val="3"/>
        <charset val="134"/>
      </rPr>
      <t>＊ 零售单车毛利</t>
    </r>
    <r>
      <rPr>
        <sz val="11"/>
        <color theme="1"/>
        <rFont val="宋体"/>
        <family val="3"/>
        <charset val="134"/>
      </rPr>
      <t>（平均）</t>
    </r>
    <phoneticPr fontId="2" type="noConversion"/>
  </si>
  <si>
    <r>
      <rPr>
        <b/>
        <sz val="11"/>
        <color theme="1"/>
        <rFont val="宋体"/>
        <family val="3"/>
        <charset val="134"/>
      </rPr>
      <t>＊ 批售毛利率</t>
    </r>
    <r>
      <rPr>
        <sz val="11"/>
        <color theme="1"/>
        <rFont val="宋体"/>
        <family val="3"/>
        <charset val="134"/>
      </rPr>
      <t>（参考估值）</t>
    </r>
    <phoneticPr fontId="2" type="noConversion"/>
  </si>
  <si>
    <r>
      <rPr>
        <b/>
        <sz val="11"/>
        <color theme="1"/>
        <rFont val="宋体"/>
        <family val="3"/>
        <charset val="134"/>
      </rPr>
      <t>＊ 零售毛利率</t>
    </r>
    <r>
      <rPr>
        <sz val="11"/>
        <color theme="1"/>
        <rFont val="宋体"/>
        <family val="3"/>
        <charset val="134"/>
      </rPr>
      <t>（参考估值）</t>
    </r>
    <phoneticPr fontId="2" type="noConversion"/>
  </si>
  <si>
    <t>前月库存（台）</t>
    <phoneticPr fontId="2" type="noConversion"/>
  </si>
  <si>
    <t>本月内采（台，店内收购或置换）</t>
    <phoneticPr fontId="2" type="noConversion"/>
  </si>
  <si>
    <t>本月外采（台，集团内拍或其他）</t>
    <phoneticPr fontId="2" type="noConversion"/>
  </si>
  <si>
    <r>
      <t>＊ 库存周转系数</t>
    </r>
    <r>
      <rPr>
        <sz val="11"/>
        <color theme="1"/>
        <rFont val="宋体"/>
        <family val="3"/>
        <charset val="134"/>
      </rPr>
      <t>（数值）</t>
    </r>
    <phoneticPr fontId="2" type="noConversion"/>
  </si>
  <si>
    <t>当月库存总金额</t>
    <phoneticPr fontId="2" type="noConversion"/>
  </si>
  <si>
    <r>
      <t>*</t>
    </r>
    <r>
      <rPr>
        <b/>
        <sz val="12"/>
        <color rgb="FFFF0000"/>
        <rFont val="宋体"/>
        <family val="3"/>
        <charset val="134"/>
      </rPr>
      <t>当月的批</t>
    </r>
    <r>
      <rPr>
        <b/>
        <sz val="12"/>
        <color rgb="FFFF0000"/>
        <rFont val="CorpoS"/>
      </rPr>
      <t>/</t>
    </r>
    <r>
      <rPr>
        <b/>
        <sz val="12"/>
        <color rgb="FFFF0000"/>
        <rFont val="宋体"/>
        <family val="3"/>
        <charset val="134"/>
      </rPr>
      <t>零售总计金额与总计台数：以当月所发生的合同中数据为准；</t>
    </r>
    <phoneticPr fontId="2" type="noConversion"/>
  </si>
  <si>
    <r>
      <t>*</t>
    </r>
    <r>
      <rPr>
        <b/>
        <sz val="12"/>
        <color rgb="FFFF0000"/>
        <rFont val="宋体"/>
        <family val="3"/>
        <charset val="134"/>
      </rPr>
      <t>当月的批</t>
    </r>
    <r>
      <rPr>
        <b/>
        <sz val="12"/>
        <color rgb="FFFF0000"/>
        <rFont val="CorpoS"/>
      </rPr>
      <t>/</t>
    </r>
    <r>
      <rPr>
        <b/>
        <sz val="12"/>
        <color rgb="FFFF0000"/>
        <rFont val="宋体"/>
        <family val="3"/>
        <charset val="134"/>
      </rPr>
      <t>零售毛利总额：以当月因业务所产生的实质业务</t>
    </r>
    <r>
      <rPr>
        <b/>
        <sz val="12"/>
        <color rgb="FFFF0000"/>
        <rFont val="CorpoS"/>
      </rPr>
      <t>GP1</t>
    </r>
    <r>
      <rPr>
        <b/>
        <sz val="12"/>
        <color rgb="FFFF0000"/>
        <rFont val="宋体"/>
        <family val="3"/>
        <charset val="134"/>
      </rPr>
      <t>或收入为准；</t>
    </r>
    <phoneticPr fontId="2" type="noConversion"/>
  </si>
  <si>
    <r>
      <t>*</t>
    </r>
    <r>
      <rPr>
        <b/>
        <sz val="12"/>
        <color rgb="FFFF0000"/>
        <rFont val="宋体"/>
        <family val="3"/>
        <charset val="134"/>
      </rPr>
      <t>当月的内采台数：包括自店内试乘试价或公务用退役车也需纳入计算；</t>
    </r>
    <phoneticPr fontId="2" type="noConversion"/>
  </si>
  <si>
    <r>
      <t>*</t>
    </r>
    <r>
      <rPr>
        <b/>
        <sz val="12"/>
        <color rgb="FFFF0000"/>
        <rFont val="宋体"/>
        <family val="3"/>
        <charset val="134"/>
      </rPr>
      <t>当月库存总金额：以当月底财务盘点数据为准，若无统计此单元格及列则无需填写；</t>
    </r>
    <phoneticPr fontId="2" type="noConversion"/>
  </si>
  <si>
    <r>
      <rPr>
        <b/>
        <sz val="11"/>
        <color theme="1"/>
        <rFont val="宋体"/>
        <family val="3"/>
        <charset val="134"/>
      </rPr>
      <t>经销商代码</t>
    </r>
    <r>
      <rPr>
        <b/>
        <sz val="11"/>
        <color theme="1"/>
        <rFont val="宋体"/>
        <family val="3"/>
        <charset val="134"/>
      </rPr>
      <t>：</t>
    </r>
    <phoneticPr fontId="2" type="noConversion"/>
  </si>
  <si>
    <t>二手车财务数据统计</t>
    <phoneticPr fontId="2" type="noConversion"/>
  </si>
  <si>
    <t>CPO
零售</t>
    <phoneticPr fontId="2" type="noConversion"/>
  </si>
  <si>
    <t>Y2019</t>
    <phoneticPr fontId="2" type="noConversion"/>
  </si>
  <si>
    <r>
      <t xml:space="preserve">湖南骏佳 二手车业务数据采集分析工具 </t>
    </r>
    <r>
      <rPr>
        <b/>
        <sz val="22"/>
        <color theme="0"/>
        <rFont val="宋体"/>
        <family val="3"/>
        <charset val="134"/>
      </rPr>
      <t>〖辅导跟进用〗</t>
    </r>
    <phoneticPr fontId="2" type="noConversion"/>
  </si>
  <si>
    <r>
      <rPr>
        <b/>
        <sz val="11"/>
        <color theme="1"/>
        <rFont val="宋体"/>
        <family val="3"/>
        <charset val="134"/>
      </rPr>
      <t>经销商代码</t>
    </r>
    <r>
      <rPr>
        <b/>
        <sz val="11"/>
        <color theme="1"/>
        <rFont val="宋体"/>
        <family val="3"/>
        <charset val="134"/>
      </rPr>
      <t>：</t>
    </r>
    <phoneticPr fontId="2" type="noConversion"/>
  </si>
  <si>
    <t xml:space="preserve">      湖南骏佳 二手车业务数据采集分析工具 〖辅导跟进用〗</t>
    <phoneticPr fontId="2" type="noConversion"/>
  </si>
  <si>
    <r>
      <t>2018</t>
    </r>
    <r>
      <rPr>
        <sz val="9"/>
        <color theme="0"/>
        <rFont val="宋体"/>
        <family val="3"/>
        <charset val="134"/>
      </rPr>
      <t>年总数</t>
    </r>
    <phoneticPr fontId="2" type="noConversion"/>
  </si>
  <si>
    <t>骏佳集团</t>
    <phoneticPr fontId="2" type="noConversion"/>
  </si>
  <si>
    <t>长沙</t>
    <phoneticPr fontId="2" type="noConversion"/>
  </si>
  <si>
    <t>华南2区</t>
    <phoneticPr fontId="2" type="noConversion"/>
  </si>
  <si>
    <t>L0P03</t>
    <phoneticPr fontId="2" type="noConversion"/>
  </si>
  <si>
    <t>湖南骏佳</t>
    <phoneticPr fontId="2" type="noConversion"/>
  </si>
  <si>
    <r>
      <t>2019</t>
    </r>
    <r>
      <rPr>
        <sz val="9"/>
        <color theme="0"/>
        <rFont val="宋体"/>
        <family val="3"/>
        <charset val="134"/>
      </rPr>
      <t>年总数</t>
    </r>
    <phoneticPr fontId="2" type="noConversion"/>
  </si>
  <si>
    <t>含收购/置换</t>
    <phoneticPr fontId="2" type="noConversion"/>
  </si>
  <si>
    <t>评估线索</t>
    <phoneticPr fontId="2" type="noConversion"/>
  </si>
  <si>
    <t>置换二手CPO</t>
    <phoneticPr fontId="2" type="noConversion"/>
  </si>
  <si>
    <t>LPO
零售</t>
    <phoneticPr fontId="2" type="noConversion"/>
  </si>
  <si>
    <t>PO
零售</t>
    <phoneticPr fontId="2" type="noConversion"/>
  </si>
  <si>
    <t>零售
库存</t>
    <phoneticPr fontId="2" type="noConversion"/>
  </si>
  <si>
    <r>
      <rPr>
        <sz val="10"/>
        <color theme="1"/>
        <rFont val="宋体"/>
        <family val="3"/>
        <charset val="134"/>
      </rPr>
      <t>新车销量</t>
    </r>
    <r>
      <rPr>
        <sz val="10"/>
        <color theme="1"/>
        <rFont val="CorpoS"/>
      </rPr>
      <t>(</t>
    </r>
    <r>
      <rPr>
        <sz val="10"/>
        <color theme="1"/>
        <rFont val="宋体"/>
        <family val="3"/>
        <charset val="134"/>
      </rPr>
      <t>订单）</t>
    </r>
    <phoneticPr fontId="2" type="noConversion"/>
  </si>
  <si>
    <r>
      <rPr>
        <sz val="10"/>
        <color theme="1"/>
        <rFont val="宋体"/>
        <family val="3"/>
        <charset val="134"/>
      </rPr>
      <t>首次进店客户数（有效</t>
    </r>
    <r>
      <rPr>
        <sz val="10"/>
        <color theme="1"/>
        <rFont val="CorpoS"/>
      </rPr>
      <t>)</t>
    </r>
    <phoneticPr fontId="2" type="noConversion"/>
  </si>
  <si>
    <t>2018年表现</t>
    <phoneticPr fontId="2" type="noConversion"/>
  </si>
  <si>
    <t>2019年表现</t>
    <phoneticPr fontId="2" type="noConversion"/>
  </si>
  <si>
    <t>总批售金额</t>
    <phoneticPr fontId="2" type="noConversion"/>
  </si>
  <si>
    <t>总批售台数</t>
    <phoneticPr fontId="2" type="noConversion"/>
  </si>
  <si>
    <t>总批售毛利</t>
    <phoneticPr fontId="2" type="noConversion"/>
  </si>
  <si>
    <t>批售毛利率</t>
    <phoneticPr fontId="2" type="noConversion"/>
  </si>
  <si>
    <t>总零售金额</t>
    <phoneticPr fontId="2" type="noConversion"/>
  </si>
  <si>
    <t>总零售台数</t>
    <phoneticPr fontId="2" type="noConversion"/>
  </si>
  <si>
    <t>总零售毛利</t>
    <phoneticPr fontId="2" type="noConversion"/>
  </si>
  <si>
    <t>零售毛利率</t>
    <phoneticPr fontId="2" type="noConversion"/>
  </si>
  <si>
    <t>PO数/零售占比</t>
    <phoneticPr fontId="2" type="noConversion"/>
  </si>
  <si>
    <t>LPO数/零售占比</t>
    <phoneticPr fontId="2" type="noConversion"/>
  </si>
  <si>
    <t>CPO数/零售占比</t>
    <phoneticPr fontId="2" type="noConversion"/>
  </si>
  <si>
    <t>PO毛利贡献比</t>
    <phoneticPr fontId="2" type="noConversion"/>
  </si>
  <si>
    <t>LPO毛利贡献比</t>
    <phoneticPr fontId="2" type="noConversion"/>
  </si>
  <si>
    <t>CPO毛利贡献比</t>
    <phoneticPr fontId="2" type="noConversion"/>
  </si>
  <si>
    <t>库存/周转金额</t>
    <phoneticPr fontId="2" type="noConversion"/>
  </si>
  <si>
    <t>库存周转系数</t>
    <phoneticPr fontId="2" type="noConversion"/>
  </si>
  <si>
    <t>单车约当流转天</t>
    <phoneticPr fontId="2" type="noConversion"/>
  </si>
  <si>
    <t>2019年目标值</t>
    <phoneticPr fontId="2" type="noConversion"/>
  </si>
  <si>
    <t>2019年达成值</t>
    <phoneticPr fontId="2" type="noConversion"/>
  </si>
  <si>
    <t>2019年已结算的月份：</t>
    <phoneticPr fontId="2" type="noConversion"/>
  </si>
  <si>
    <t>时间进度：</t>
    <phoneticPr fontId="2" type="noConversion"/>
  </si>
  <si>
    <t>台数完成百分比：</t>
    <phoneticPr fontId="2" type="noConversion"/>
  </si>
  <si>
    <t>毛利完成百分比：</t>
    <phoneticPr fontId="2" type="noConversion"/>
  </si>
  <si>
    <t>转售台数</t>
    <phoneticPr fontId="2" type="noConversion"/>
  </si>
  <si>
    <t>转售毛利（万元）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</si>
</sst>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176" formatCode="[$¥-804]#,##0.00"/>
    <numFmt numFmtId="177" formatCode="0.0%"/>
    <numFmt numFmtId="178" formatCode="_(* #,##0.00_);_(* \(#,##0.00\);_(* &quot;-&quot;??_);_(@_)"/>
    <numFmt numFmtId="179" formatCode="_(* #,##0_);_(* \(#,##0\);_(* &quot;-&quot;_);_(@_)"/>
    <numFmt numFmtId="180" formatCode="_(* #,##0_);_(* \(#,##0\);_(* &quot;-&quot;??_);_(@_)"/>
    <numFmt numFmtId="181" formatCode="0.0_);[Red]\(0.0\)"/>
    <numFmt numFmtId="182" formatCode="0.0_ "/>
    <numFmt numFmtId="186" formatCode="#,##0_ "/>
    <numFmt numFmtId="188" formatCode="0_);[Red]\(0\)"/>
  </numFmts>
  <fonts count="42" x14ac:knownFonts="1">
    <font>
      <sz val="11"/>
      <color theme="1"/>
      <name val="宋体"/>
      <family val="2"/>
      <charset val="134"/>
      <scheme val="minor"/>
    </font>
    <font>
      <sz val="12"/>
      <color theme="1"/>
      <name val="宋体"/>
      <family val="2"/>
      <charset val="136"/>
      <scheme val="minor"/>
    </font>
    <font>
      <sz val="9"/>
      <name val="宋体"/>
      <family val="2"/>
      <charset val="134"/>
      <scheme val="minor"/>
    </font>
    <font>
      <sz val="10"/>
      <color theme="1"/>
      <name val="CorpoS"/>
    </font>
    <font>
      <sz val="11"/>
      <color theme="1"/>
      <name val="CorpoS"/>
    </font>
    <font>
      <sz val="9"/>
      <name val="宋体"/>
      <family val="2"/>
      <charset val="136"/>
      <scheme val="minor"/>
    </font>
    <font>
      <b/>
      <sz val="22"/>
      <color theme="0"/>
      <name val="CorpoA"/>
    </font>
    <font>
      <b/>
      <sz val="22"/>
      <color theme="0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CorpoS"/>
    </font>
    <font>
      <sz val="11"/>
      <color theme="0"/>
      <name val="CorpoS"/>
    </font>
    <font>
      <b/>
      <sz val="11"/>
      <color theme="0"/>
      <name val="CorpoS"/>
    </font>
    <font>
      <b/>
      <sz val="12"/>
      <color rgb="FFFF0000"/>
      <name val="CorpoS"/>
    </font>
    <font>
      <b/>
      <sz val="22"/>
      <color theme="0"/>
      <name val="新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theme="1"/>
      <name val="新宋体"/>
      <family val="3"/>
      <charset val="134"/>
    </font>
    <font>
      <sz val="11"/>
      <color theme="1"/>
      <name val="新宋体"/>
      <family val="3"/>
      <charset val="134"/>
    </font>
    <font>
      <sz val="11"/>
      <color theme="0"/>
      <name val="宋体"/>
      <family val="3"/>
      <charset val="134"/>
    </font>
    <font>
      <sz val="9"/>
      <color theme="0"/>
      <name val="宋体"/>
      <family val="3"/>
      <charset val="134"/>
    </font>
    <font>
      <sz val="9"/>
      <color theme="0"/>
      <name val="CorpoS"/>
    </font>
    <font>
      <b/>
      <sz val="12"/>
      <color rgb="FFFF0000"/>
      <name val="宋体"/>
      <family val="3"/>
      <charset val="134"/>
    </font>
    <font>
      <sz val="10"/>
      <color theme="0"/>
      <name val="CorpoS"/>
    </font>
    <font>
      <sz val="8"/>
      <color theme="1"/>
      <name val="宋体"/>
      <family val="2"/>
      <charset val="134"/>
      <scheme val="minor"/>
    </font>
    <font>
      <sz val="9"/>
      <color theme="1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sz val="12"/>
      <color theme="0"/>
      <name val="CorpoS"/>
    </font>
    <font>
      <sz val="12"/>
      <color theme="1"/>
      <name val="宋体"/>
      <family val="2"/>
      <charset val="134"/>
      <scheme val="minor"/>
    </font>
    <font>
      <sz val="8"/>
      <color theme="1"/>
      <name val="CorpoS"/>
    </font>
    <font>
      <b/>
      <sz val="11"/>
      <color theme="0" tint="-0.499984740745262"/>
      <name val="宋体"/>
      <family val="3"/>
      <charset val="134"/>
    </font>
    <font>
      <b/>
      <sz val="14"/>
      <color theme="1"/>
      <name val="CorpoS"/>
    </font>
    <font>
      <b/>
      <sz val="14"/>
      <color theme="1"/>
      <name val="宋体"/>
      <family val="2"/>
      <charset val="134"/>
      <scheme val="minor"/>
    </font>
    <font>
      <sz val="14"/>
      <color theme="1"/>
      <name val="CorpoS"/>
    </font>
    <font>
      <b/>
      <sz val="11"/>
      <color theme="0"/>
      <name val="宋体"/>
      <family val="3"/>
      <charset val="134"/>
    </font>
    <font>
      <sz val="11"/>
      <color rgb="FFFF0000"/>
      <name val="宋体"/>
      <family val="2"/>
      <charset val="134"/>
      <scheme val="minor"/>
    </font>
    <font>
      <b/>
      <sz val="11"/>
      <color rgb="FFFF0000"/>
      <name val="CorpoS"/>
    </font>
    <font>
      <sz val="10"/>
      <color theme="1"/>
      <name val="宋体"/>
      <family val="3"/>
      <charset val="134"/>
    </font>
    <font>
      <sz val="11"/>
      <color theme="0"/>
      <name val="宋体"/>
      <family val="2"/>
      <charset val="134"/>
      <scheme val="minor"/>
    </font>
    <font>
      <sz val="11"/>
      <color theme="1"/>
      <name val="LEXUS 简中黑 U"/>
      <family val="2"/>
      <charset val="134"/>
    </font>
    <font>
      <b/>
      <sz val="11"/>
      <color theme="1"/>
      <name val="LEXUS 简中黑 U"/>
      <family val="2"/>
      <charset val="134"/>
    </font>
    <font>
      <sz val="11"/>
      <color theme="0"/>
      <name val="LEXUS 简中黑 U"/>
      <family val="2"/>
      <charset val="134"/>
    </font>
    <font>
      <b/>
      <sz val="11"/>
      <color theme="0"/>
      <name val="LEXUS 简中黑 U"/>
      <family val="2"/>
      <charset val="134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6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indexed="64"/>
      </bottom>
      <diagonal/>
    </border>
    <border>
      <left/>
      <right style="dashed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dashed">
        <color auto="1"/>
      </right>
      <top style="thin">
        <color auto="1"/>
      </top>
      <bottom style="thin">
        <color auto="1"/>
      </bottom>
      <diagonal/>
    </border>
    <border>
      <left/>
      <right style="dashed">
        <color auto="1"/>
      </right>
      <top/>
      <bottom style="thin">
        <color auto="1"/>
      </bottom>
      <diagonal/>
    </border>
    <border>
      <left/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dashed">
        <color auto="1"/>
      </right>
      <top/>
      <bottom style="medium">
        <color indexed="64"/>
      </bottom>
      <diagonal/>
    </border>
    <border>
      <left style="dashed">
        <color auto="1"/>
      </left>
      <right/>
      <top/>
      <bottom style="thin">
        <color indexed="64"/>
      </bottom>
      <diagonal/>
    </border>
    <border>
      <left style="dashed">
        <color auto="1"/>
      </left>
      <right/>
      <top style="thin">
        <color indexed="64"/>
      </top>
      <bottom style="thin">
        <color indexed="64"/>
      </bottom>
      <diagonal/>
    </border>
    <border>
      <left style="dashed">
        <color auto="1"/>
      </left>
      <right/>
      <top style="thin">
        <color indexed="64"/>
      </top>
      <bottom style="medium">
        <color indexed="64"/>
      </bottom>
      <diagonal/>
    </border>
    <border>
      <left style="dashed">
        <color auto="1"/>
      </left>
      <right/>
      <top style="medium">
        <color indexed="64"/>
      </top>
      <bottom style="thin">
        <color indexed="64"/>
      </bottom>
      <diagonal/>
    </border>
    <border>
      <left style="dashed">
        <color auto="1"/>
      </left>
      <right/>
      <top/>
      <bottom/>
      <diagonal/>
    </border>
    <border>
      <left style="dotted">
        <color auto="1"/>
      </left>
      <right/>
      <top style="medium">
        <color indexed="64"/>
      </top>
      <bottom style="thin">
        <color indexed="64"/>
      </bottom>
      <diagonal/>
    </border>
    <border>
      <left style="dotted">
        <color auto="1"/>
      </left>
      <right/>
      <top style="thin">
        <color indexed="64"/>
      </top>
      <bottom style="thin">
        <color indexed="64"/>
      </bottom>
      <diagonal/>
    </border>
    <border>
      <left style="dotted">
        <color auto="1"/>
      </left>
      <right/>
      <top style="thin">
        <color indexed="64"/>
      </top>
      <bottom style="medium">
        <color indexed="64"/>
      </bottom>
      <diagonal/>
    </border>
    <border diagonalDown="1"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 style="thin">
        <color theme="0"/>
      </diagonal>
    </border>
    <border diagonalDown="1"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 style="thin">
        <color theme="0"/>
      </diagonal>
    </border>
    <border>
      <left style="thin">
        <color indexed="64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dashed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/>
      <diagonal/>
    </border>
    <border>
      <left style="thin">
        <color auto="1"/>
      </left>
      <right style="dashed">
        <color auto="1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5">
    <xf numFmtId="0" fontId="0" fillId="0" borderId="0">
      <alignment vertical="center"/>
    </xf>
    <xf numFmtId="176" fontId="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178" fontId="9" fillId="0" borderId="0" applyFont="0" applyFill="0" applyBorder="0" applyAlignment="0" applyProtection="0"/>
  </cellStyleXfs>
  <cellXfs count="221">
    <xf numFmtId="0" fontId="0" fillId="0" borderId="0" xfId="0">
      <alignment vertical="center"/>
    </xf>
    <xf numFmtId="0" fontId="4" fillId="0" borderId="0" xfId="2" applyFont="1"/>
    <xf numFmtId="0" fontId="4" fillId="0" borderId="0" xfId="2" applyFont="1" applyAlignment="1">
      <alignment horizontal="center" vertical="center"/>
    </xf>
    <xf numFmtId="179" fontId="4" fillId="4" borderId="1" xfId="4" applyNumberFormat="1" applyFont="1" applyFill="1" applyBorder="1" applyAlignment="1">
      <alignment horizontal="center" vertical="center"/>
    </xf>
    <xf numFmtId="0" fontId="4" fillId="4" borderId="4" xfId="2" applyFont="1" applyFill="1" applyBorder="1"/>
    <xf numFmtId="180" fontId="4" fillId="0" borderId="1" xfId="4" applyNumberFormat="1" applyFont="1" applyBorder="1" applyAlignment="1">
      <alignment horizontal="center" vertical="center"/>
    </xf>
    <xf numFmtId="1" fontId="4" fillId="4" borderId="4" xfId="2" applyNumberFormat="1" applyFont="1" applyFill="1" applyBorder="1"/>
    <xf numFmtId="1" fontId="4" fillId="4" borderId="3" xfId="2" applyNumberFormat="1" applyFont="1" applyFill="1" applyBorder="1"/>
    <xf numFmtId="180" fontId="4" fillId="4" borderId="1" xfId="4" applyNumberFormat="1" applyFont="1" applyFill="1" applyBorder="1" applyAlignment="1">
      <alignment horizontal="center" vertical="center"/>
    </xf>
    <xf numFmtId="0" fontId="4" fillId="0" borderId="0" xfId="2" applyFont="1" applyFill="1"/>
    <xf numFmtId="0" fontId="4" fillId="2" borderId="0" xfId="2" applyFont="1" applyFill="1"/>
    <xf numFmtId="0" fontId="4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/>
    </xf>
    <xf numFmtId="0" fontId="10" fillId="0" borderId="1" xfId="2" applyFont="1" applyBorder="1"/>
    <xf numFmtId="0" fontId="16" fillId="0" borderId="1" xfId="2" applyFont="1" applyBorder="1"/>
    <xf numFmtId="0" fontId="17" fillId="0" borderId="12" xfId="2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180" fontId="4" fillId="0" borderId="2" xfId="4" applyNumberFormat="1" applyFont="1" applyBorder="1" applyAlignment="1">
      <alignment horizontal="center" vertical="center"/>
    </xf>
    <xf numFmtId="180" fontId="4" fillId="4" borderId="2" xfId="4" applyNumberFormat="1" applyFont="1" applyFill="1" applyBorder="1" applyAlignment="1">
      <alignment horizontal="center" vertical="center"/>
    </xf>
    <xf numFmtId="179" fontId="4" fillId="4" borderId="2" xfId="4" applyNumberFormat="1" applyFont="1" applyFill="1" applyBorder="1" applyAlignment="1">
      <alignment horizontal="center" vertical="center"/>
    </xf>
    <xf numFmtId="180" fontId="4" fillId="0" borderId="22" xfId="4" applyNumberFormat="1" applyFont="1" applyBorder="1" applyAlignment="1">
      <alignment horizontal="center" vertical="center"/>
    </xf>
    <xf numFmtId="180" fontId="4" fillId="0" borderId="23" xfId="4" applyNumberFormat="1" applyFont="1" applyBorder="1" applyAlignment="1">
      <alignment horizontal="center" vertical="center"/>
    </xf>
    <xf numFmtId="180" fontId="4" fillId="4" borderId="22" xfId="4" applyNumberFormat="1" applyFont="1" applyFill="1" applyBorder="1" applyAlignment="1">
      <alignment horizontal="center" vertical="center"/>
    </xf>
    <xf numFmtId="180" fontId="4" fillId="4" borderId="23" xfId="4" applyNumberFormat="1" applyFont="1" applyFill="1" applyBorder="1" applyAlignment="1">
      <alignment horizontal="center" vertical="center"/>
    </xf>
    <xf numFmtId="179" fontId="4" fillId="4" borderId="22" xfId="4" applyNumberFormat="1" applyFont="1" applyFill="1" applyBorder="1" applyAlignment="1">
      <alignment horizontal="center" vertical="center"/>
    </xf>
    <xf numFmtId="179" fontId="4" fillId="4" borderId="23" xfId="4" applyNumberFormat="1" applyFont="1" applyFill="1" applyBorder="1" applyAlignment="1">
      <alignment horizontal="center" vertical="center"/>
    </xf>
    <xf numFmtId="180" fontId="4" fillId="4" borderId="13" xfId="4" applyNumberFormat="1" applyFont="1" applyFill="1" applyBorder="1" applyAlignment="1">
      <alignment horizontal="center" vertical="center"/>
    </xf>
    <xf numFmtId="180" fontId="4" fillId="4" borderId="19" xfId="0" applyNumberFormat="1" applyFont="1" applyFill="1" applyBorder="1">
      <alignment vertical="center"/>
    </xf>
    <xf numFmtId="180" fontId="4" fillId="4" borderId="21" xfId="0" applyNumberFormat="1" applyFont="1" applyFill="1" applyBorder="1">
      <alignment vertical="center"/>
    </xf>
    <xf numFmtId="179" fontId="4" fillId="4" borderId="21" xfId="0" applyNumberFormat="1" applyFont="1" applyFill="1" applyBorder="1">
      <alignment vertical="center"/>
    </xf>
    <xf numFmtId="180" fontId="4" fillId="0" borderId="3" xfId="4" applyNumberFormat="1" applyFont="1" applyBorder="1" applyAlignment="1">
      <alignment horizontal="center" vertical="center"/>
    </xf>
    <xf numFmtId="180" fontId="4" fillId="4" borderId="3" xfId="4" applyNumberFormat="1" applyFont="1" applyFill="1" applyBorder="1" applyAlignment="1">
      <alignment horizontal="center" vertical="center"/>
    </xf>
    <xf numFmtId="179" fontId="4" fillId="4" borderId="3" xfId="4" applyNumberFormat="1" applyFont="1" applyFill="1" applyBorder="1" applyAlignment="1">
      <alignment horizontal="center" vertical="center"/>
    </xf>
    <xf numFmtId="1" fontId="3" fillId="2" borderId="3" xfId="2" applyNumberFormat="1" applyFont="1" applyFill="1" applyBorder="1"/>
    <xf numFmtId="1" fontId="3" fillId="2" borderId="4" xfId="2" applyNumberFormat="1" applyFont="1" applyFill="1" applyBorder="1"/>
    <xf numFmtId="0" fontId="3" fillId="2" borderId="3" xfId="2" applyFont="1" applyFill="1" applyBorder="1"/>
    <xf numFmtId="1" fontId="3" fillId="2" borderId="33" xfId="2" applyNumberFormat="1" applyFont="1" applyFill="1" applyBorder="1"/>
    <xf numFmtId="1" fontId="4" fillId="4" borderId="33" xfId="2" applyNumberFormat="1" applyFont="1" applyFill="1" applyBorder="1"/>
    <xf numFmtId="180" fontId="4" fillId="0" borderId="35" xfId="4" applyNumberFormat="1" applyFont="1" applyBorder="1" applyAlignment="1">
      <alignment horizontal="center" vertical="center"/>
    </xf>
    <xf numFmtId="180" fontId="4" fillId="0" borderId="36" xfId="4" applyNumberFormat="1" applyFont="1" applyBorder="1" applyAlignment="1">
      <alignment horizontal="center" vertical="center"/>
    </xf>
    <xf numFmtId="180" fontId="4" fillId="0" borderId="32" xfId="4" applyNumberFormat="1" applyFont="1" applyBorder="1" applyAlignment="1">
      <alignment horizontal="center" vertical="center"/>
    </xf>
    <xf numFmtId="180" fontId="4" fillId="0" borderId="33" xfId="4" applyNumberFormat="1" applyFont="1" applyBorder="1" applyAlignment="1">
      <alignment horizontal="center" vertical="center"/>
    </xf>
    <xf numFmtId="180" fontId="4" fillId="4" borderId="37" xfId="0" applyNumberFormat="1" applyFont="1" applyFill="1" applyBorder="1">
      <alignment vertical="center"/>
    </xf>
    <xf numFmtId="0" fontId="3" fillId="2" borderId="4" xfId="2" applyFont="1" applyFill="1" applyBorder="1"/>
    <xf numFmtId="1" fontId="3" fillId="2" borderId="38" xfId="2" applyNumberFormat="1" applyFont="1" applyFill="1" applyBorder="1"/>
    <xf numFmtId="1" fontId="4" fillId="4" borderId="38" xfId="2" applyNumberFormat="1" applyFont="1" applyFill="1" applyBorder="1"/>
    <xf numFmtId="180" fontId="4" fillId="0" borderId="16" xfId="4" applyNumberFormat="1" applyFont="1" applyBorder="1" applyAlignment="1">
      <alignment horizontal="center" vertical="center"/>
    </xf>
    <xf numFmtId="180" fontId="4" fillId="0" borderId="17" xfId="4" applyNumberFormat="1" applyFont="1" applyBorder="1" applyAlignment="1">
      <alignment horizontal="center" vertical="center"/>
    </xf>
    <xf numFmtId="180" fontId="4" fillId="0" borderId="38" xfId="4" applyNumberFormat="1" applyFont="1" applyBorder="1" applyAlignment="1">
      <alignment horizontal="center" vertical="center"/>
    </xf>
    <xf numFmtId="180" fontId="4" fillId="4" borderId="31" xfId="0" applyNumberFormat="1" applyFont="1" applyFill="1" applyBorder="1">
      <alignment vertical="center"/>
    </xf>
    <xf numFmtId="1" fontId="3" fillId="2" borderId="39" xfId="2" applyNumberFormat="1" applyFont="1" applyFill="1" applyBorder="1"/>
    <xf numFmtId="1" fontId="4" fillId="4" borderId="39" xfId="2" applyNumberFormat="1" applyFont="1" applyFill="1" applyBorder="1"/>
    <xf numFmtId="0" fontId="3" fillId="2" borderId="33" xfId="2" applyFont="1" applyFill="1" applyBorder="1"/>
    <xf numFmtId="0" fontId="4" fillId="4" borderId="33" xfId="2" applyFont="1" applyFill="1" applyBorder="1"/>
    <xf numFmtId="180" fontId="4" fillId="0" borderId="43" xfId="4" applyNumberFormat="1" applyFont="1" applyBorder="1" applyAlignment="1">
      <alignment horizontal="center" vertical="center"/>
    </xf>
    <xf numFmtId="180" fontId="4" fillId="0" borderId="20" xfId="4" applyNumberFormat="1" applyFont="1" applyBorder="1" applyAlignment="1">
      <alignment horizontal="center" vertical="center"/>
    </xf>
    <xf numFmtId="180" fontId="4" fillId="4" borderId="44" xfId="4" applyNumberFormat="1" applyFont="1" applyFill="1" applyBorder="1" applyAlignment="1">
      <alignment horizontal="center" vertical="center"/>
    </xf>
    <xf numFmtId="180" fontId="4" fillId="4" borderId="45" xfId="4" applyNumberFormat="1" applyFont="1" applyFill="1" applyBorder="1" applyAlignment="1">
      <alignment horizontal="center" vertical="center"/>
    </xf>
    <xf numFmtId="180" fontId="4" fillId="4" borderId="42" xfId="4" applyNumberFormat="1" applyFont="1" applyFill="1" applyBorder="1" applyAlignment="1">
      <alignment horizontal="center" vertical="center"/>
    </xf>
    <xf numFmtId="180" fontId="4" fillId="4" borderId="46" xfId="4" applyNumberFormat="1" applyFont="1" applyFill="1" applyBorder="1" applyAlignment="1">
      <alignment horizontal="center" vertical="center"/>
    </xf>
    <xf numFmtId="180" fontId="4" fillId="4" borderId="47" xfId="4" applyNumberFormat="1" applyFont="1" applyFill="1" applyBorder="1" applyAlignment="1">
      <alignment horizontal="center" vertical="center"/>
    </xf>
    <xf numFmtId="179" fontId="4" fillId="4" borderId="45" xfId="4" applyNumberFormat="1" applyFont="1" applyFill="1" applyBorder="1" applyAlignment="1">
      <alignment horizontal="center" vertical="center"/>
    </xf>
    <xf numFmtId="0" fontId="0" fillId="6" borderId="48" xfId="0" applyFill="1" applyBorder="1">
      <alignment vertical="center"/>
    </xf>
    <xf numFmtId="0" fontId="0" fillId="4" borderId="49" xfId="0" applyFill="1" applyBorder="1">
      <alignment vertical="center"/>
    </xf>
    <xf numFmtId="0" fontId="0" fillId="4" borderId="50" xfId="0" applyFill="1" applyBorder="1">
      <alignment vertical="center"/>
    </xf>
    <xf numFmtId="177" fontId="4" fillId="4" borderId="20" xfId="2" applyNumberFormat="1" applyFont="1" applyFill="1" applyBorder="1" applyAlignment="1">
      <alignment horizontal="center" vertical="center"/>
    </xf>
    <xf numFmtId="177" fontId="4" fillId="4" borderId="16" xfId="2" applyNumberFormat="1" applyFont="1" applyFill="1" applyBorder="1" applyAlignment="1">
      <alignment horizontal="center" vertical="center"/>
    </xf>
    <xf numFmtId="177" fontId="4" fillId="4" borderId="17" xfId="2" applyNumberFormat="1" applyFont="1" applyFill="1" applyBorder="1" applyAlignment="1">
      <alignment horizontal="center" vertical="center"/>
    </xf>
    <xf numFmtId="177" fontId="4" fillId="4" borderId="15" xfId="2" applyNumberFormat="1" applyFont="1" applyFill="1" applyBorder="1" applyAlignment="1">
      <alignment horizontal="center" vertical="center"/>
    </xf>
    <xf numFmtId="177" fontId="4" fillId="4" borderId="38" xfId="2" applyNumberFormat="1" applyFont="1" applyFill="1" applyBorder="1" applyAlignment="1">
      <alignment horizontal="center" vertical="center"/>
    </xf>
    <xf numFmtId="177" fontId="0" fillId="4" borderId="51" xfId="0" applyNumberFormat="1" applyFill="1" applyBorder="1">
      <alignment vertical="center"/>
    </xf>
    <xf numFmtId="177" fontId="4" fillId="4" borderId="2" xfId="2" applyNumberFormat="1" applyFont="1" applyFill="1" applyBorder="1" applyAlignment="1">
      <alignment horizontal="center" vertical="center"/>
    </xf>
    <xf numFmtId="177" fontId="4" fillId="4" borderId="1" xfId="2" applyNumberFormat="1" applyFont="1" applyFill="1" applyBorder="1" applyAlignment="1">
      <alignment horizontal="center" vertical="center"/>
    </xf>
    <xf numFmtId="177" fontId="4" fillId="4" borderId="23" xfId="2" applyNumberFormat="1" applyFont="1" applyFill="1" applyBorder="1" applyAlignment="1">
      <alignment horizontal="center" vertical="center"/>
    </xf>
    <xf numFmtId="177" fontId="4" fillId="4" borderId="22" xfId="2" applyNumberFormat="1" applyFont="1" applyFill="1" applyBorder="1" applyAlignment="1">
      <alignment horizontal="center" vertical="center"/>
    </xf>
    <xf numFmtId="177" fontId="4" fillId="4" borderId="3" xfId="2" applyNumberFormat="1" applyFont="1" applyFill="1" applyBorder="1" applyAlignment="1">
      <alignment horizontal="center" vertical="center"/>
    </xf>
    <xf numFmtId="177" fontId="0" fillId="4" borderId="49" xfId="0" applyNumberFormat="1" applyFill="1" applyBorder="1">
      <alignment vertical="center"/>
    </xf>
    <xf numFmtId="177" fontId="4" fillId="4" borderId="43" xfId="2" applyNumberFormat="1" applyFont="1" applyFill="1" applyBorder="1" applyAlignment="1">
      <alignment horizontal="center" vertical="center"/>
    </xf>
    <xf numFmtId="177" fontId="4" fillId="4" borderId="36" xfId="2" applyNumberFormat="1" applyFont="1" applyFill="1" applyBorder="1" applyAlignment="1">
      <alignment horizontal="center" vertical="center"/>
    </xf>
    <xf numFmtId="177" fontId="4" fillId="4" borderId="32" xfId="2" applyNumberFormat="1" applyFont="1" applyFill="1" applyBorder="1" applyAlignment="1">
      <alignment horizontal="center" vertical="center"/>
    </xf>
    <xf numFmtId="177" fontId="4" fillId="4" borderId="35" xfId="2" applyNumberFormat="1" applyFont="1" applyFill="1" applyBorder="1" applyAlignment="1">
      <alignment horizontal="center" vertical="center"/>
    </xf>
    <xf numFmtId="177" fontId="4" fillId="4" borderId="33" xfId="2" applyNumberFormat="1" applyFont="1" applyFill="1" applyBorder="1" applyAlignment="1">
      <alignment horizontal="center" vertical="center"/>
    </xf>
    <xf numFmtId="177" fontId="0" fillId="4" borderId="50" xfId="0" applyNumberFormat="1" applyFill="1" applyBorder="1">
      <alignment vertical="center"/>
    </xf>
    <xf numFmtId="0" fontId="0" fillId="6" borderId="52" xfId="0" applyFill="1" applyBorder="1">
      <alignment vertical="center"/>
    </xf>
    <xf numFmtId="0" fontId="0" fillId="4" borderId="53" xfId="0" applyFill="1" applyBorder="1">
      <alignment vertical="center"/>
    </xf>
    <xf numFmtId="0" fontId="0" fillId="4" borderId="54" xfId="0" applyFill="1" applyBorder="1">
      <alignment vertical="center"/>
    </xf>
    <xf numFmtId="0" fontId="0" fillId="4" borderId="55" xfId="0" applyFill="1" applyBorder="1">
      <alignment vertical="center"/>
    </xf>
    <xf numFmtId="1" fontId="4" fillId="2" borderId="3" xfId="2" applyNumberFormat="1" applyFont="1" applyFill="1" applyBorder="1"/>
    <xf numFmtId="1" fontId="8" fillId="2" borderId="3" xfId="2" applyNumberFormat="1" applyFont="1" applyFill="1" applyBorder="1" applyAlignment="1">
      <alignment vertical="center"/>
    </xf>
    <xf numFmtId="1" fontId="8" fillId="2" borderId="38" xfId="2" applyNumberFormat="1" applyFont="1" applyFill="1" applyBorder="1" applyAlignment="1">
      <alignment vertical="center"/>
    </xf>
    <xf numFmtId="1" fontId="8" fillId="2" borderId="4" xfId="2" applyNumberFormat="1" applyFont="1" applyFill="1" applyBorder="1" applyAlignment="1">
      <alignment vertical="center"/>
    </xf>
    <xf numFmtId="1" fontId="8" fillId="2" borderId="39" xfId="2" applyNumberFormat="1" applyFont="1" applyFill="1" applyBorder="1" applyAlignment="1">
      <alignment vertical="center"/>
    </xf>
    <xf numFmtId="1" fontId="15" fillId="2" borderId="3" xfId="2" applyNumberFormat="1" applyFont="1" applyFill="1" applyBorder="1" applyAlignment="1">
      <alignment vertical="center"/>
    </xf>
    <xf numFmtId="1" fontId="29" fillId="2" borderId="39" xfId="2" applyNumberFormat="1" applyFont="1" applyFill="1" applyBorder="1" applyAlignment="1">
      <alignment vertical="center"/>
    </xf>
    <xf numFmtId="180" fontId="4" fillId="4" borderId="18" xfId="4" applyNumberFormat="1" applyFont="1" applyFill="1" applyBorder="1" applyAlignment="1">
      <alignment horizontal="center" vertical="center"/>
    </xf>
    <xf numFmtId="180" fontId="4" fillId="4" borderId="58" xfId="4" applyNumberFormat="1" applyFont="1" applyFill="1" applyBorder="1" applyAlignment="1">
      <alignment horizontal="center" vertical="center"/>
    </xf>
    <xf numFmtId="0" fontId="0" fillId="4" borderId="14" xfId="0" applyFill="1" applyBorder="1">
      <alignment vertical="center"/>
    </xf>
    <xf numFmtId="180" fontId="4" fillId="4" borderId="59" xfId="4" applyNumberFormat="1" applyFont="1" applyFill="1" applyBorder="1" applyAlignment="1">
      <alignment horizontal="center" vertical="center"/>
    </xf>
    <xf numFmtId="180" fontId="4" fillId="4" borderId="26" xfId="4" applyNumberFormat="1" applyFont="1" applyFill="1" applyBorder="1" applyAlignment="1">
      <alignment horizontal="center" vertical="center"/>
    </xf>
    <xf numFmtId="180" fontId="4" fillId="4" borderId="7" xfId="4" applyNumberFormat="1" applyFont="1" applyFill="1" applyBorder="1" applyAlignment="1">
      <alignment horizontal="center" vertical="center"/>
    </xf>
    <xf numFmtId="180" fontId="4" fillId="4" borderId="60" xfId="4" applyNumberFormat="1" applyFont="1" applyFill="1" applyBorder="1" applyAlignment="1">
      <alignment horizontal="center" vertical="center"/>
    </xf>
    <xf numFmtId="0" fontId="0" fillId="4" borderId="13" xfId="0" applyFill="1" applyBorder="1">
      <alignment vertical="center"/>
    </xf>
    <xf numFmtId="177" fontId="4" fillId="4" borderId="2" xfId="4" applyNumberFormat="1" applyFont="1" applyFill="1" applyBorder="1" applyAlignment="1">
      <alignment horizontal="center" vertical="center"/>
    </xf>
    <xf numFmtId="177" fontId="4" fillId="4" borderId="13" xfId="4" applyNumberFormat="1" applyFont="1" applyFill="1" applyBorder="1" applyAlignment="1">
      <alignment horizontal="center" vertical="center"/>
    </xf>
    <xf numFmtId="177" fontId="4" fillId="4" borderId="35" xfId="4" applyNumberFormat="1" applyFont="1" applyFill="1" applyBorder="1" applyAlignment="1">
      <alignment horizontal="center" vertical="center"/>
    </xf>
    <xf numFmtId="177" fontId="4" fillId="4" borderId="36" xfId="4" applyNumberFormat="1" applyFont="1" applyFill="1" applyBorder="1" applyAlignment="1">
      <alignment horizontal="center" vertical="center"/>
    </xf>
    <xf numFmtId="177" fontId="4" fillId="4" borderId="61" xfId="4" applyNumberFormat="1" applyFont="1" applyFill="1" applyBorder="1" applyAlignment="1">
      <alignment horizontal="center" vertical="center"/>
    </xf>
    <xf numFmtId="177" fontId="0" fillId="4" borderId="13" xfId="0" applyNumberFormat="1" applyFill="1" applyBorder="1">
      <alignment vertical="center"/>
    </xf>
    <xf numFmtId="177" fontId="4" fillId="4" borderId="43" xfId="4" applyNumberFormat="1" applyFont="1" applyFill="1" applyBorder="1" applyAlignment="1">
      <alignment horizontal="center" vertical="center"/>
    </xf>
    <xf numFmtId="177" fontId="4" fillId="4" borderId="32" xfId="4" applyNumberFormat="1" applyFont="1" applyFill="1" applyBorder="1" applyAlignment="1">
      <alignment horizontal="center" vertical="center"/>
    </xf>
    <xf numFmtId="177" fontId="0" fillId="4" borderId="34" xfId="0" applyNumberFormat="1" applyFill="1" applyBorder="1">
      <alignment vertical="center"/>
    </xf>
    <xf numFmtId="181" fontId="4" fillId="4" borderId="18" xfId="4" applyNumberFormat="1" applyFont="1" applyFill="1" applyBorder="1" applyAlignment="1">
      <alignment horizontal="center" vertical="center"/>
    </xf>
    <xf numFmtId="181" fontId="4" fillId="4" borderId="23" xfId="4" applyNumberFormat="1" applyFont="1" applyFill="1" applyBorder="1" applyAlignment="1">
      <alignment horizontal="center" vertical="center"/>
    </xf>
    <xf numFmtId="181" fontId="4" fillId="4" borderId="22" xfId="4" applyNumberFormat="1" applyFont="1" applyFill="1" applyBorder="1" applyAlignment="1">
      <alignment horizontal="center" vertical="center"/>
    </xf>
    <xf numFmtId="181" fontId="4" fillId="4" borderId="1" xfId="4" applyNumberFormat="1" applyFont="1" applyFill="1" applyBorder="1" applyAlignment="1">
      <alignment horizontal="center" vertical="center"/>
    </xf>
    <xf numFmtId="181" fontId="4" fillId="4" borderId="59" xfId="4" applyNumberFormat="1" applyFont="1" applyFill="1" applyBorder="1" applyAlignment="1">
      <alignment horizontal="center" vertical="center"/>
    </xf>
    <xf numFmtId="181" fontId="0" fillId="4" borderId="14" xfId="0" applyNumberFormat="1" applyFill="1" applyBorder="1">
      <alignment vertical="center"/>
    </xf>
    <xf numFmtId="180" fontId="28" fillId="4" borderId="47" xfId="4" applyNumberFormat="1" applyFont="1" applyFill="1" applyBorder="1" applyAlignment="1">
      <alignment horizontal="center" vertical="center"/>
    </xf>
    <xf numFmtId="180" fontId="28" fillId="0" borderId="43" xfId="4" applyNumberFormat="1" applyFont="1" applyBorder="1" applyAlignment="1">
      <alignment horizontal="center" vertical="center"/>
    </xf>
    <xf numFmtId="180" fontId="28" fillId="0" borderId="36" xfId="4" applyNumberFormat="1" applyFont="1" applyBorder="1" applyAlignment="1">
      <alignment horizontal="center" vertical="center"/>
    </xf>
    <xf numFmtId="180" fontId="28" fillId="0" borderId="32" xfId="4" applyNumberFormat="1" applyFont="1" applyBorder="1" applyAlignment="1">
      <alignment horizontal="center" vertical="center"/>
    </xf>
    <xf numFmtId="180" fontId="28" fillId="0" borderId="33" xfId="4" applyNumberFormat="1" applyFont="1" applyBorder="1" applyAlignment="1">
      <alignment horizontal="center" vertical="center"/>
    </xf>
    <xf numFmtId="0" fontId="23" fillId="4" borderId="55" xfId="0" applyFont="1" applyFill="1" applyBorder="1">
      <alignment vertical="center"/>
    </xf>
    <xf numFmtId="180" fontId="28" fillId="4" borderId="37" xfId="0" applyNumberFormat="1" applyFont="1" applyFill="1" applyBorder="1">
      <alignment vertical="center"/>
    </xf>
    <xf numFmtId="0" fontId="15" fillId="0" borderId="1" xfId="2" applyFont="1" applyBorder="1"/>
    <xf numFmtId="177" fontId="13" fillId="4" borderId="37" xfId="0" applyNumberFormat="1" applyFont="1" applyFill="1" applyBorder="1" applyAlignment="1">
      <alignment horizontal="center" vertical="center"/>
    </xf>
    <xf numFmtId="177" fontId="13" fillId="4" borderId="21" xfId="0" applyNumberFormat="1" applyFont="1" applyFill="1" applyBorder="1" applyAlignment="1">
      <alignment horizontal="center" vertical="center"/>
    </xf>
    <xf numFmtId="177" fontId="13" fillId="4" borderId="31" xfId="0" applyNumberFormat="1" applyFont="1" applyFill="1" applyBorder="1" applyAlignment="1">
      <alignment horizontal="center" vertical="center"/>
    </xf>
    <xf numFmtId="177" fontId="13" fillId="4" borderId="45" xfId="4" applyNumberFormat="1" applyFont="1" applyFill="1" applyBorder="1" applyAlignment="1">
      <alignment horizontal="center" vertical="center"/>
    </xf>
    <xf numFmtId="177" fontId="13" fillId="4" borderId="42" xfId="3" applyNumberFormat="1" applyFont="1" applyFill="1" applyBorder="1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0" fontId="34" fillId="0" borderId="0" xfId="0" applyFont="1">
      <alignment vertical="center"/>
    </xf>
    <xf numFmtId="177" fontId="10" fillId="4" borderId="21" xfId="0" applyNumberFormat="1" applyFont="1" applyFill="1" applyBorder="1" applyAlignment="1">
      <alignment horizontal="center" vertical="center"/>
    </xf>
    <xf numFmtId="177" fontId="10" fillId="4" borderId="37" xfId="0" applyNumberFormat="1" applyFont="1" applyFill="1" applyBorder="1" applyAlignment="1">
      <alignment horizontal="center" vertical="center"/>
    </xf>
    <xf numFmtId="181" fontId="10" fillId="4" borderId="19" xfId="0" applyNumberFormat="1" applyFont="1" applyFill="1" applyBorder="1" applyAlignment="1">
      <alignment horizontal="center" vertical="center"/>
    </xf>
    <xf numFmtId="181" fontId="35" fillId="4" borderId="44" xfId="4" applyNumberFormat="1" applyFont="1" applyFill="1" applyBorder="1" applyAlignment="1">
      <alignment horizontal="center" vertical="center"/>
    </xf>
    <xf numFmtId="177" fontId="13" fillId="4" borderId="47" xfId="4" applyNumberFormat="1" applyFont="1" applyFill="1" applyBorder="1" applyAlignment="1">
      <alignment horizontal="center" vertical="center"/>
    </xf>
    <xf numFmtId="177" fontId="13" fillId="4" borderId="44" xfId="4" applyNumberFormat="1" applyFont="1" applyFill="1" applyBorder="1" applyAlignment="1">
      <alignment horizontal="center" vertical="center"/>
    </xf>
    <xf numFmtId="1" fontId="10" fillId="4" borderId="26" xfId="2" applyNumberFormat="1" applyFont="1" applyFill="1" applyBorder="1" applyAlignment="1">
      <alignment horizontal="center" vertical="center"/>
    </xf>
    <xf numFmtId="1" fontId="10" fillId="4" borderId="40" xfId="2" applyNumberFormat="1" applyFont="1" applyFill="1" applyBorder="1" applyAlignment="1">
      <alignment horizontal="center" vertical="center"/>
    </xf>
    <xf numFmtId="1" fontId="10" fillId="4" borderId="41" xfId="2" applyNumberFormat="1" applyFont="1" applyFill="1" applyBorder="1" applyAlignment="1">
      <alignment horizontal="center" vertical="center"/>
    </xf>
    <xf numFmtId="1" fontId="10" fillId="4" borderId="28" xfId="2" applyNumberFormat="1" applyFont="1" applyFill="1" applyBorder="1" applyAlignment="1">
      <alignment horizontal="center" vertical="center"/>
    </xf>
    <xf numFmtId="0" fontId="10" fillId="4" borderId="27" xfId="2" applyFont="1" applyFill="1" applyBorder="1" applyAlignment="1">
      <alignment horizontal="center" vertical="center"/>
    </xf>
    <xf numFmtId="0" fontId="10" fillId="4" borderId="22" xfId="2" applyFont="1" applyFill="1" applyBorder="1" applyAlignment="1">
      <alignment horizontal="center" vertical="center"/>
    </xf>
    <xf numFmtId="0" fontId="10" fillId="4" borderId="35" xfId="2" applyFont="1" applyFill="1" applyBorder="1" applyAlignment="1">
      <alignment horizontal="center" vertical="center"/>
    </xf>
    <xf numFmtId="0" fontId="17" fillId="0" borderId="1" xfId="2" applyFont="1" applyBorder="1" applyAlignment="1"/>
    <xf numFmtId="0" fontId="17" fillId="0" borderId="1" xfId="0" applyFont="1" applyBorder="1" applyAlignment="1">
      <alignment vertical="center"/>
    </xf>
    <xf numFmtId="2" fontId="6" fillId="0" borderId="9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22" fillId="5" borderId="26" xfId="2" applyFont="1" applyFill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6" fillId="5" borderId="7" xfId="2" applyFont="1" applyFill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0" fillId="5" borderId="8" xfId="2" applyFont="1" applyFill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11" fillId="5" borderId="26" xfId="2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56" xfId="2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12" fillId="6" borderId="15" xfId="2" applyFont="1" applyFill="1" applyBorder="1" applyAlignment="1">
      <alignment horizontal="center" vertical="center"/>
    </xf>
    <xf numFmtId="0" fontId="12" fillId="6" borderId="16" xfId="2" applyFont="1" applyFill="1" applyBorder="1" applyAlignment="1">
      <alignment horizontal="center" vertical="center"/>
    </xf>
    <xf numFmtId="0" fontId="12" fillId="6" borderId="17" xfId="2" applyFont="1" applyFill="1" applyBorder="1" applyAlignment="1">
      <alignment horizontal="center" vertical="center"/>
    </xf>
    <xf numFmtId="0" fontId="20" fillId="6" borderId="24" xfId="0" applyFont="1" applyFill="1" applyBorder="1" applyAlignment="1">
      <alignment horizontal="center" vertical="center" wrapText="1"/>
    </xf>
    <xf numFmtId="0" fontId="20" fillId="6" borderId="25" xfId="0" applyFont="1" applyFill="1" applyBorder="1" applyAlignment="1">
      <alignment horizontal="center" vertical="center"/>
    </xf>
    <xf numFmtId="0" fontId="11" fillId="6" borderId="40" xfId="2" applyFont="1" applyFill="1" applyBorder="1" applyAlignment="1">
      <alignment horizontal="center" vertical="center"/>
    </xf>
    <xf numFmtId="0" fontId="11" fillId="6" borderId="6" xfId="2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11" fillId="6" borderId="11" xfId="2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0" fontId="32" fillId="0" borderId="30" xfId="0" applyFont="1" applyBorder="1" applyAlignment="1">
      <alignment vertical="center"/>
    </xf>
    <xf numFmtId="0" fontId="32" fillId="0" borderId="31" xfId="0" applyFont="1" applyBorder="1" applyAlignment="1">
      <alignment vertical="center"/>
    </xf>
    <xf numFmtId="0" fontId="17" fillId="0" borderId="0" xfId="2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" fontId="15" fillId="4" borderId="28" xfId="2" applyNumberFormat="1" applyFont="1" applyFill="1" applyBorder="1" applyAlignment="1">
      <alignment horizontal="center" vertical="center" wrapText="1"/>
    </xf>
    <xf numFmtId="0" fontId="33" fillId="6" borderId="15" xfId="2" applyFont="1" applyFill="1" applyBorder="1" applyAlignment="1">
      <alignment horizontal="center" vertical="center"/>
    </xf>
    <xf numFmtId="0" fontId="30" fillId="0" borderId="30" xfId="0" applyFont="1" applyBorder="1" applyAlignment="1">
      <alignment vertical="center"/>
    </xf>
    <xf numFmtId="0" fontId="30" fillId="0" borderId="31" xfId="0" applyFont="1" applyBorder="1" applyAlignment="1">
      <alignment vertical="center"/>
    </xf>
    <xf numFmtId="1" fontId="15" fillId="4" borderId="26" xfId="2" applyNumberFormat="1" applyFont="1" applyFill="1" applyBorder="1" applyAlignment="1">
      <alignment horizontal="center" vertical="center"/>
    </xf>
    <xf numFmtId="0" fontId="38" fillId="0" borderId="0" xfId="0" applyFont="1">
      <alignment vertical="center"/>
    </xf>
    <xf numFmtId="9" fontId="0" fillId="0" borderId="0" xfId="0" applyNumberFormat="1">
      <alignment vertical="center"/>
    </xf>
    <xf numFmtId="0" fontId="38" fillId="7" borderId="0" xfId="0" applyFont="1" applyFill="1">
      <alignment vertical="center"/>
    </xf>
    <xf numFmtId="0" fontId="38" fillId="8" borderId="0" xfId="0" applyFont="1" applyFill="1">
      <alignment vertical="center"/>
    </xf>
    <xf numFmtId="0" fontId="38" fillId="9" borderId="0" xfId="0" applyFont="1" applyFill="1">
      <alignment vertical="center"/>
    </xf>
    <xf numFmtId="0" fontId="39" fillId="8" borderId="0" xfId="0" applyFont="1" applyFill="1">
      <alignment vertical="center"/>
    </xf>
    <xf numFmtId="0" fontId="40" fillId="5" borderId="0" xfId="0" applyFont="1" applyFill="1" applyAlignment="1">
      <alignment horizontal="center" vertical="center"/>
    </xf>
    <xf numFmtId="0" fontId="40" fillId="10" borderId="0" xfId="0" applyFont="1" applyFill="1" applyAlignment="1">
      <alignment horizontal="center" vertical="center"/>
    </xf>
    <xf numFmtId="180" fontId="38" fillId="0" borderId="62" xfId="0" applyNumberFormat="1" applyFont="1" applyBorder="1">
      <alignment vertical="center"/>
    </xf>
    <xf numFmtId="177" fontId="38" fillId="0" borderId="62" xfId="0" applyNumberFormat="1" applyFont="1" applyBorder="1">
      <alignment vertical="center"/>
    </xf>
    <xf numFmtId="9" fontId="38" fillId="0" borderId="62" xfId="0" applyNumberFormat="1" applyFont="1" applyBorder="1">
      <alignment vertical="center"/>
    </xf>
    <xf numFmtId="181" fontId="38" fillId="0" borderId="62" xfId="0" applyNumberFormat="1" applyFont="1" applyBorder="1">
      <alignment vertical="center"/>
    </xf>
    <xf numFmtId="182" fontId="38" fillId="0" borderId="62" xfId="0" applyNumberFormat="1" applyFont="1" applyBorder="1">
      <alignment vertical="center"/>
    </xf>
    <xf numFmtId="0" fontId="38" fillId="9" borderId="0" xfId="0" applyFont="1" applyFill="1" applyBorder="1">
      <alignment vertical="center"/>
    </xf>
    <xf numFmtId="0" fontId="41" fillId="11" borderId="0" xfId="0" applyFont="1" applyFill="1" applyAlignment="1">
      <alignment horizontal="center" vertical="center"/>
    </xf>
    <xf numFmtId="0" fontId="39" fillId="12" borderId="0" xfId="0" applyFont="1" applyFill="1" applyAlignment="1">
      <alignment horizontal="center" vertical="center"/>
    </xf>
    <xf numFmtId="0" fontId="38" fillId="8" borderId="0" xfId="0" applyFont="1" applyFill="1" applyBorder="1">
      <alignment vertical="center"/>
    </xf>
    <xf numFmtId="0" fontId="38" fillId="0" borderId="63" xfId="0" applyFont="1" applyBorder="1" applyAlignment="1">
      <alignment horizontal="center" vertical="center"/>
    </xf>
    <xf numFmtId="0" fontId="38" fillId="0" borderId="0" xfId="0" applyFont="1" applyAlignment="1">
      <alignment horizontal="right" vertical="center"/>
    </xf>
    <xf numFmtId="0" fontId="38" fillId="0" borderId="0" xfId="0" applyFont="1" applyAlignment="1">
      <alignment horizontal="left" vertical="center"/>
    </xf>
    <xf numFmtId="9" fontId="38" fillId="0" borderId="0" xfId="0" applyNumberFormat="1" applyFont="1" applyAlignment="1">
      <alignment horizontal="left" vertical="center"/>
    </xf>
    <xf numFmtId="9" fontId="37" fillId="0" borderId="0" xfId="0" applyNumberFormat="1" applyFont="1">
      <alignment vertical="center"/>
    </xf>
    <xf numFmtId="180" fontId="37" fillId="0" borderId="0" xfId="0" applyNumberFormat="1" applyFont="1">
      <alignment vertical="center"/>
    </xf>
    <xf numFmtId="42" fontId="37" fillId="0" borderId="0" xfId="0" applyNumberFormat="1" applyFont="1">
      <alignment vertical="center"/>
    </xf>
    <xf numFmtId="186" fontId="38" fillId="0" borderId="63" xfId="0" applyNumberFormat="1" applyFont="1" applyBorder="1" applyAlignment="1">
      <alignment horizontal="center" vertical="center"/>
    </xf>
    <xf numFmtId="188" fontId="38" fillId="0" borderId="63" xfId="0" applyNumberFormat="1" applyFont="1" applyBorder="1" applyAlignment="1">
      <alignment horizontal="center" vertical="center"/>
    </xf>
    <xf numFmtId="0" fontId="38" fillId="13" borderId="0" xfId="0" applyFont="1" applyFill="1" applyAlignment="1">
      <alignment horizontal="right" vertical="center"/>
    </xf>
    <xf numFmtId="0" fontId="38" fillId="14" borderId="0" xfId="0" applyFont="1" applyFill="1" applyAlignment="1">
      <alignment horizontal="right" vertical="center"/>
    </xf>
    <xf numFmtId="0" fontId="40" fillId="10" borderId="0" xfId="0" applyFont="1" applyFill="1" applyAlignment="1">
      <alignment horizontal="right" vertical="center"/>
    </xf>
  </cellXfs>
  <cellStyles count="5">
    <cellStyle name="百分比 2" xfId="3"/>
    <cellStyle name="常规" xfId="0" builtinId="0"/>
    <cellStyle name="常规 2" xfId="1"/>
    <cellStyle name="常规 3" xfId="2"/>
    <cellStyle name="千位分隔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新宋体" panose="02010609030101010101" pitchFamily="49" charset="-122"/>
                <a:ea typeface="新宋体" panose="02010609030101010101" pitchFamily="49" charset="-122"/>
                <a:cs typeface="+mn-cs"/>
              </a:defRPr>
            </a:pPr>
            <a:r>
              <a:rPr lang="zh-TW" altLang="en-US" sz="1200" b="0">
                <a:latin typeface="CorpoS" pitchFamily="2" charset="0"/>
                <a:ea typeface="新宋体" panose="02010609030101010101" pitchFamily="49" charset="-122"/>
              </a:rPr>
              <a:t>（</a:t>
            </a:r>
            <a:r>
              <a:rPr lang="en-US" altLang="zh-TW" sz="1200" b="0">
                <a:latin typeface="CorpoS" pitchFamily="2" charset="0"/>
                <a:ea typeface="新宋体" panose="02010609030101010101" pitchFamily="49" charset="-122"/>
              </a:rPr>
              <a:t>2018</a:t>
            </a:r>
            <a:r>
              <a:rPr lang="zh-TW" altLang="en-US" sz="1200" b="0">
                <a:latin typeface="CorpoS" pitchFamily="2" charset="0"/>
                <a:ea typeface="新宋体" panose="02010609030101010101" pitchFamily="49" charset="-122"/>
              </a:rPr>
              <a:t>全年）</a:t>
            </a:r>
            <a:r>
              <a:rPr lang="zh-TW" altLang="en-US" sz="1200" b="1">
                <a:latin typeface="新宋体" panose="02010609030101010101" pitchFamily="49" charset="-122"/>
                <a:ea typeface="新宋体" panose="02010609030101010101" pitchFamily="49" charset="-122"/>
              </a:rPr>
              <a:t>首次进店评估率</a:t>
            </a:r>
            <a:endParaRPr lang="zh-CN" altLang="en-US" sz="1200" b="0">
              <a:latin typeface="新宋体" panose="02010609030101010101" pitchFamily="49" charset="-122"/>
              <a:ea typeface="新宋体" panose="02010609030101010101" pitchFamily="49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运的部份!$C$14</c:f>
              <c:strCache>
                <c:ptCount val="1"/>
                <c:pt idx="0">
                  <c:v>首次进店客户数（有效)</c:v>
                </c:pt>
              </c:strCache>
            </c:strRef>
          </c:tx>
          <c:spPr>
            <a:noFill/>
            <a:ln w="25400">
              <a:solidFill>
                <a:srgbClr val="FFFF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运的部份!$F$12:$Q$13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运的部份!$F$14:$Q$14</c:f>
              <c:numCache>
                <c:formatCode>_(* #,##0_);_(* \(#,##0\);_(* "-"??_);_(@_)</c:formatCode>
                <c:ptCount val="12"/>
                <c:pt idx="0">
                  <c:v>668</c:v>
                </c:pt>
                <c:pt idx="1">
                  <c:v>510</c:v>
                </c:pt>
                <c:pt idx="2">
                  <c:v>949</c:v>
                </c:pt>
                <c:pt idx="3">
                  <c:v>779</c:v>
                </c:pt>
                <c:pt idx="4">
                  <c:v>832</c:v>
                </c:pt>
                <c:pt idx="5">
                  <c:v>940</c:v>
                </c:pt>
                <c:pt idx="6">
                  <c:v>1055</c:v>
                </c:pt>
                <c:pt idx="7">
                  <c:v>1157</c:v>
                </c:pt>
                <c:pt idx="8">
                  <c:v>1041</c:v>
                </c:pt>
                <c:pt idx="9">
                  <c:v>1134</c:v>
                </c:pt>
                <c:pt idx="10">
                  <c:v>1050</c:v>
                </c:pt>
                <c:pt idx="11">
                  <c:v>813</c:v>
                </c:pt>
              </c:numCache>
            </c:numRef>
          </c:val>
        </c:ser>
        <c:ser>
          <c:idx val="1"/>
          <c:order val="1"/>
          <c:tx>
            <c:strRef>
              <c:f>运的部份!$C$15</c:f>
              <c:strCache>
                <c:ptCount val="1"/>
                <c:pt idx="0">
                  <c:v>评估数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运的部份!$F$12:$Q$13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运的部份!$F$15:$Q$15</c:f>
              <c:numCache>
                <c:formatCode>_(* #,##0_);_(* \(#,##0\);_(* "-"??_);_(@_)</c:formatCode>
                <c:ptCount val="12"/>
                <c:pt idx="0">
                  <c:v>264</c:v>
                </c:pt>
                <c:pt idx="1">
                  <c:v>163</c:v>
                </c:pt>
                <c:pt idx="2">
                  <c:v>240</c:v>
                </c:pt>
                <c:pt idx="3">
                  <c:v>216</c:v>
                </c:pt>
                <c:pt idx="4">
                  <c:v>233</c:v>
                </c:pt>
                <c:pt idx="5">
                  <c:v>224</c:v>
                </c:pt>
                <c:pt idx="6">
                  <c:v>263</c:v>
                </c:pt>
                <c:pt idx="7">
                  <c:v>215</c:v>
                </c:pt>
                <c:pt idx="8">
                  <c:v>268</c:v>
                </c:pt>
                <c:pt idx="9">
                  <c:v>262</c:v>
                </c:pt>
                <c:pt idx="10">
                  <c:v>118</c:v>
                </c:pt>
                <c:pt idx="11">
                  <c:v>113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overlap val="100"/>
        <c:axId val="61101056"/>
        <c:axId val="61101616"/>
      </c:barChart>
      <c:lineChart>
        <c:grouping val="standard"/>
        <c:varyColors val="0"/>
        <c:ser>
          <c:idx val="2"/>
          <c:order val="2"/>
          <c:tx>
            <c:strRef>
              <c:f>运的部份!$C$27</c:f>
              <c:strCache>
                <c:ptCount val="1"/>
                <c:pt idx="0">
                  <c:v>首次进店评估率</c:v>
                </c:pt>
              </c:strCache>
            </c:strRef>
          </c:tx>
          <c:spPr>
            <a:ln w="31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rgbClr val="C00000">
                  <a:alpha val="50000"/>
                </a:srgbClr>
              </a:solidFill>
              <a:ln w="3175">
                <a:solidFill>
                  <a:srgbClr val="FF0000">
                    <a:alpha val="50000"/>
                  </a:srgb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>
                        <a:alpha val="50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运的部份!$F$12:$Q$13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运的部份!$F$27:$Q$27</c:f>
              <c:numCache>
                <c:formatCode>0.0%</c:formatCode>
                <c:ptCount val="12"/>
                <c:pt idx="0">
                  <c:v>0.39520958083832336</c:v>
                </c:pt>
                <c:pt idx="1">
                  <c:v>0.31960784313725488</c:v>
                </c:pt>
                <c:pt idx="2">
                  <c:v>0.25289778714436251</c:v>
                </c:pt>
                <c:pt idx="3">
                  <c:v>0.2772785622593068</c:v>
                </c:pt>
                <c:pt idx="4">
                  <c:v>0.28004807692307693</c:v>
                </c:pt>
                <c:pt idx="5">
                  <c:v>0.23829787234042554</c:v>
                </c:pt>
                <c:pt idx="6">
                  <c:v>0.24928909952606634</c:v>
                </c:pt>
                <c:pt idx="7">
                  <c:v>0.18582541054451165</c:v>
                </c:pt>
                <c:pt idx="8">
                  <c:v>0.2574447646493756</c:v>
                </c:pt>
                <c:pt idx="9">
                  <c:v>0.23104056437389769</c:v>
                </c:pt>
                <c:pt idx="10">
                  <c:v>0.11238095238095239</c:v>
                </c:pt>
                <c:pt idx="11">
                  <c:v>0.13899138991389914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02736"/>
        <c:axId val="61102176"/>
      </c:lineChart>
      <c:catAx>
        <c:axId val="6110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101616"/>
        <c:crosses val="autoZero"/>
        <c:auto val="1"/>
        <c:lblAlgn val="ctr"/>
        <c:lblOffset val="100"/>
        <c:noMultiLvlLbl val="0"/>
      </c:catAx>
      <c:valAx>
        <c:axId val="6110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101056"/>
        <c:crosses val="autoZero"/>
        <c:crossBetween val="between"/>
      </c:valAx>
      <c:valAx>
        <c:axId val="61102176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102736"/>
        <c:crosses val="max"/>
        <c:crossBetween val="between"/>
      </c:valAx>
      <c:catAx>
        <c:axId val="611027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1021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新宋体" panose="02010609030101010101" pitchFamily="49" charset="-122"/>
                <a:ea typeface="新宋体" panose="02010609030101010101" pitchFamily="49" charset="-122"/>
                <a:cs typeface="+mn-cs"/>
              </a:defRPr>
            </a:pPr>
            <a:r>
              <a:rPr lang="zh-TW" altLang="zh-CN" sz="1200" b="0" i="0" u="none" strike="noStrike" baseline="0">
                <a:effectLst/>
                <a:latin typeface="CorpoS" pitchFamily="2" charset="0"/>
              </a:rPr>
              <a:t>（</a:t>
            </a:r>
            <a:r>
              <a:rPr lang="en-US" altLang="zh-CN" sz="1200" b="0" i="0" u="none" strike="noStrike" baseline="0">
                <a:effectLst/>
                <a:latin typeface="CorpoS" pitchFamily="2" charset="0"/>
              </a:rPr>
              <a:t>2018</a:t>
            </a:r>
            <a:r>
              <a:rPr lang="zh-TW" altLang="zh-CN" sz="1200" b="0" i="0" u="none" strike="noStrike" baseline="0">
                <a:effectLst/>
                <a:latin typeface="CorpoS" pitchFamily="2" charset="0"/>
              </a:rPr>
              <a:t>全年）</a:t>
            </a:r>
            <a:r>
              <a:rPr lang="zh-TW" altLang="en-US" sz="1200" b="1" i="0" u="none" strike="noStrike" baseline="0">
                <a:effectLst/>
                <a:latin typeface="CorpoS" pitchFamily="2" charset="0"/>
              </a:rPr>
              <a:t>综合</a:t>
            </a:r>
            <a:r>
              <a:rPr lang="zh-TW" altLang="en-US" sz="1200" b="1">
                <a:latin typeface="新宋体" panose="02010609030101010101" pitchFamily="49" charset="-122"/>
                <a:ea typeface="新宋体" panose="02010609030101010101" pitchFamily="49" charset="-122"/>
              </a:rPr>
              <a:t>置换率</a:t>
            </a:r>
            <a:endParaRPr lang="zh-CN" altLang="en-US" sz="1200" b="0">
              <a:latin typeface="新宋体" panose="02010609030101010101" pitchFamily="49" charset="-122"/>
              <a:ea typeface="新宋体" panose="02010609030101010101" pitchFamily="49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运的部份!$C$22</c:f>
              <c:strCache>
                <c:ptCount val="1"/>
                <c:pt idx="0">
                  <c:v>新车销量(订单）</c:v>
                </c:pt>
              </c:strCache>
            </c:strRef>
          </c:tx>
          <c:spPr>
            <a:noFill/>
            <a:ln w="12700">
              <a:solidFill>
                <a:srgbClr val="FF0000"/>
              </a:solidFill>
              <a:prstDash val="sysDot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运的部份!$F$12:$Q$13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运的部份!$F$22:$Q$22</c:f>
              <c:numCache>
                <c:formatCode>_(* #,##0_);_(* \(#,##0\);_(* "-"??_);_(@_)</c:formatCode>
                <c:ptCount val="12"/>
                <c:pt idx="0">
                  <c:v>99</c:v>
                </c:pt>
                <c:pt idx="1">
                  <c:v>75</c:v>
                </c:pt>
                <c:pt idx="2">
                  <c:v>181</c:v>
                </c:pt>
                <c:pt idx="3">
                  <c:v>156</c:v>
                </c:pt>
                <c:pt idx="4">
                  <c:v>108</c:v>
                </c:pt>
                <c:pt idx="5">
                  <c:v>122</c:v>
                </c:pt>
                <c:pt idx="6">
                  <c:v>210</c:v>
                </c:pt>
                <c:pt idx="7">
                  <c:v>190</c:v>
                </c:pt>
                <c:pt idx="8">
                  <c:v>162</c:v>
                </c:pt>
                <c:pt idx="9">
                  <c:v>156</c:v>
                </c:pt>
                <c:pt idx="10">
                  <c:v>135</c:v>
                </c:pt>
                <c:pt idx="11">
                  <c:v>182</c:v>
                </c:pt>
              </c:numCache>
            </c:numRef>
          </c:val>
        </c:ser>
        <c:ser>
          <c:idx val="1"/>
          <c:order val="1"/>
          <c:tx>
            <c:strRef>
              <c:f>运的部份!$C$19</c:f>
              <c:strCache>
                <c:ptCount val="1"/>
                <c:pt idx="0">
                  <c:v>总置换数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运的部份!$F$12:$Q$13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运的部份!$F$19:$Q$19</c:f>
              <c:numCache>
                <c:formatCode>_(* #,##0_);_(* \(#,##0\);_(* "-"??_);_(@_)</c:formatCode>
                <c:ptCount val="12"/>
                <c:pt idx="0">
                  <c:v>14</c:v>
                </c:pt>
                <c:pt idx="1">
                  <c:v>5</c:v>
                </c:pt>
                <c:pt idx="2">
                  <c:v>9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11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16</c:v>
                </c:pt>
                <c:pt idx="11">
                  <c:v>11</c:v>
                </c:pt>
              </c:numCache>
            </c:numRef>
          </c:val>
        </c:ser>
        <c:ser>
          <c:idx val="3"/>
          <c:order val="2"/>
          <c:tx>
            <c:strRef>
              <c:f>运的部份!$C$25</c:f>
              <c:strCache>
                <c:ptCount val="1"/>
                <c:pt idx="0">
                  <c:v>本品置换数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运的部份!$F$12:$Q$13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运的部份!$F$25:$Q$25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194495632"/>
        <c:axId val="194496192"/>
      </c:barChart>
      <c:lineChart>
        <c:grouping val="standard"/>
        <c:varyColors val="0"/>
        <c:ser>
          <c:idx val="2"/>
          <c:order val="3"/>
          <c:tx>
            <c:strRef>
              <c:f>运的部份!$C$30</c:f>
              <c:strCache>
                <c:ptCount val="1"/>
                <c:pt idx="0">
                  <c:v>综合置换率</c:v>
                </c:pt>
              </c:strCache>
            </c:strRef>
          </c:tx>
          <c:spPr>
            <a:ln w="3175" cap="rnd">
              <a:solidFill>
                <a:srgbClr val="ED7D31">
                  <a:lumMod val="60000"/>
                  <a:lumOff val="40000"/>
                </a:srgbClr>
              </a:solidFill>
              <a:prstDash val="dash"/>
              <a:round/>
            </a:ln>
            <a:effectLst/>
          </c:spPr>
          <c:marker>
            <c:symbol val="square"/>
            <c:size val="5"/>
            <c:spPr>
              <a:solidFill>
                <a:srgbClr val="C00000">
                  <a:alpha val="50000"/>
                </a:srgbClr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运的部份!$F$12:$Q$13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运的部份!$F$30:$Q$30</c:f>
              <c:numCache>
                <c:formatCode>0.0%</c:formatCode>
                <c:ptCount val="12"/>
                <c:pt idx="0">
                  <c:v>0.14141414141414141</c:v>
                </c:pt>
                <c:pt idx="1">
                  <c:v>6.6666666666666666E-2</c:v>
                </c:pt>
                <c:pt idx="2">
                  <c:v>4.9723756906077346E-2</c:v>
                </c:pt>
                <c:pt idx="3">
                  <c:v>6.4102564102564097E-2</c:v>
                </c:pt>
                <c:pt idx="4">
                  <c:v>8.3333333333333329E-2</c:v>
                </c:pt>
                <c:pt idx="5">
                  <c:v>6.5573770491803282E-2</c:v>
                </c:pt>
                <c:pt idx="6">
                  <c:v>5.7142857142857141E-2</c:v>
                </c:pt>
                <c:pt idx="7">
                  <c:v>3.6842105263157891E-2</c:v>
                </c:pt>
                <c:pt idx="8">
                  <c:v>3.7037037037037035E-2</c:v>
                </c:pt>
                <c:pt idx="9">
                  <c:v>3.8461538461538464E-2</c:v>
                </c:pt>
                <c:pt idx="10">
                  <c:v>0.11851851851851852</c:v>
                </c:pt>
                <c:pt idx="11">
                  <c:v>6.043956043956044E-2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7312"/>
        <c:axId val="194496752"/>
      </c:lineChart>
      <c:catAx>
        <c:axId val="19449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496192"/>
        <c:crosses val="autoZero"/>
        <c:auto val="1"/>
        <c:lblAlgn val="ctr"/>
        <c:lblOffset val="100"/>
        <c:noMultiLvlLbl val="0"/>
      </c:catAx>
      <c:valAx>
        <c:axId val="19449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495632"/>
        <c:crosses val="autoZero"/>
        <c:crossBetween val="between"/>
      </c:valAx>
      <c:valAx>
        <c:axId val="19449675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497312"/>
        <c:crosses val="max"/>
        <c:crossBetween val="between"/>
      </c:valAx>
      <c:catAx>
        <c:axId val="1944973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4496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新宋体" panose="02010609030101010101" pitchFamily="49" charset="-122"/>
                <a:ea typeface="新宋体" panose="02010609030101010101" pitchFamily="49" charset="-122"/>
                <a:cs typeface="+mn-cs"/>
              </a:defRPr>
            </a:pPr>
            <a:r>
              <a:rPr lang="zh-TW" altLang="zh-CN" sz="1200" b="0" i="0" u="none" strike="noStrike" baseline="0">
                <a:effectLst/>
                <a:latin typeface="CorpoS" pitchFamily="2" charset="0"/>
              </a:rPr>
              <a:t>（</a:t>
            </a:r>
            <a:r>
              <a:rPr lang="en-US" altLang="zh-CN" sz="1200" b="0" i="0" u="none" strike="noStrike" baseline="0">
                <a:effectLst/>
                <a:latin typeface="CorpoS" pitchFamily="2" charset="0"/>
              </a:rPr>
              <a:t>2018</a:t>
            </a:r>
            <a:r>
              <a:rPr lang="zh-CN" altLang="en-US" sz="1200" b="0" i="0" u="none" strike="noStrike" baseline="0">
                <a:effectLst/>
                <a:latin typeface="CorpoS" pitchFamily="2" charset="0"/>
              </a:rPr>
              <a:t>全年</a:t>
            </a:r>
            <a:r>
              <a:rPr lang="zh-TW" altLang="zh-CN" sz="1200" b="0" i="0" u="none" strike="noStrike" baseline="0">
                <a:effectLst/>
                <a:latin typeface="CorpoS" pitchFamily="2" charset="0"/>
              </a:rPr>
              <a:t>）</a:t>
            </a:r>
            <a:r>
              <a:rPr lang="zh-TW" altLang="en-US" sz="1200" b="1" i="0" u="none" strike="noStrike" baseline="0">
                <a:effectLst/>
                <a:latin typeface="CorpoS" pitchFamily="2" charset="0"/>
              </a:rPr>
              <a:t>本品</a:t>
            </a:r>
            <a:r>
              <a:rPr lang="zh-TW" altLang="en-US" sz="1200" b="1">
                <a:latin typeface="新宋体" panose="02010609030101010101" pitchFamily="49" charset="-122"/>
                <a:ea typeface="新宋体" panose="02010609030101010101" pitchFamily="49" charset="-122"/>
              </a:rPr>
              <a:t>置换率</a:t>
            </a:r>
            <a:endParaRPr lang="zh-CN" altLang="en-US" sz="1200" b="0">
              <a:latin typeface="新宋体" panose="02010609030101010101" pitchFamily="49" charset="-122"/>
              <a:ea typeface="新宋体" panose="02010609030101010101" pitchFamily="49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运的部份!$C$22</c:f>
              <c:strCache>
                <c:ptCount val="1"/>
                <c:pt idx="0">
                  <c:v>新车销量(订单）</c:v>
                </c:pt>
              </c:strCache>
            </c:strRef>
          </c:tx>
          <c:spPr>
            <a:noFill/>
            <a:ln w="12700">
              <a:solidFill>
                <a:srgbClr val="FF0000"/>
              </a:solidFill>
              <a:prstDash val="sysDot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运的部份!$F$12:$Q$13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运的部份!$F$22:$Q$22</c:f>
              <c:numCache>
                <c:formatCode>_(* #,##0_);_(* \(#,##0\);_(* "-"??_);_(@_)</c:formatCode>
                <c:ptCount val="12"/>
                <c:pt idx="0">
                  <c:v>99</c:v>
                </c:pt>
                <c:pt idx="1">
                  <c:v>75</c:v>
                </c:pt>
                <c:pt idx="2">
                  <c:v>181</c:v>
                </c:pt>
                <c:pt idx="3">
                  <c:v>156</c:v>
                </c:pt>
                <c:pt idx="4">
                  <c:v>108</c:v>
                </c:pt>
                <c:pt idx="5">
                  <c:v>122</c:v>
                </c:pt>
                <c:pt idx="6">
                  <c:v>210</c:v>
                </c:pt>
                <c:pt idx="7">
                  <c:v>190</c:v>
                </c:pt>
                <c:pt idx="8">
                  <c:v>162</c:v>
                </c:pt>
                <c:pt idx="9">
                  <c:v>156</c:v>
                </c:pt>
                <c:pt idx="10">
                  <c:v>135</c:v>
                </c:pt>
                <c:pt idx="11">
                  <c:v>182</c:v>
                </c:pt>
              </c:numCache>
            </c:numRef>
          </c:val>
        </c:ser>
        <c:ser>
          <c:idx val="1"/>
          <c:order val="1"/>
          <c:tx>
            <c:strRef>
              <c:f>运的部份!$C$20</c:f>
              <c:strCache>
                <c:ptCount val="1"/>
                <c:pt idx="0">
                  <c:v>*本品置换数（非售后介绍）</c:v>
                </c:pt>
              </c:strCache>
            </c:strRef>
          </c:tx>
          <c:spPr>
            <a:solidFill>
              <a:srgbClr val="5B9BD5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运的部份!$F$12:$Q$13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运的部份!$F$20:$Q$20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</c:ser>
        <c:ser>
          <c:idx val="3"/>
          <c:order val="2"/>
          <c:tx>
            <c:strRef>
              <c:f>运的部份!$C$25</c:f>
              <c:strCache>
                <c:ptCount val="1"/>
                <c:pt idx="0">
                  <c:v>本品置换数</c:v>
                </c:pt>
              </c:strCache>
            </c:strRef>
          </c:tx>
          <c:spPr>
            <a:solidFill>
              <a:srgbClr val="5B9BD5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运的部份!$F$12:$Q$13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运的部份!$F$25:$Q$25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194501792"/>
        <c:axId val="194797264"/>
      </c:barChart>
      <c:lineChart>
        <c:grouping val="standard"/>
        <c:varyColors val="0"/>
        <c:ser>
          <c:idx val="2"/>
          <c:order val="3"/>
          <c:tx>
            <c:strRef>
              <c:f>运的部份!$C$32</c:f>
              <c:strCache>
                <c:ptCount val="1"/>
                <c:pt idx="0">
                  <c:v>本品置换率</c:v>
                </c:pt>
              </c:strCache>
            </c:strRef>
          </c:tx>
          <c:spPr>
            <a:ln w="3175" cap="rnd">
              <a:solidFill>
                <a:srgbClr val="5B9BD5">
                  <a:alpha val="50000"/>
                </a:srgbClr>
              </a:solidFill>
              <a:prstDash val="dash"/>
              <a:round/>
            </a:ln>
            <a:effectLst/>
          </c:spPr>
          <c:marker>
            <c:symbol val="triangle"/>
            <c:size val="5"/>
            <c:spPr>
              <a:solidFill>
                <a:srgbClr val="44546A">
                  <a:alpha val="50000"/>
                </a:srgbClr>
              </a:solidFill>
              <a:ln w="9525">
                <a:solidFill>
                  <a:srgbClr val="00B0F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运的部份!$F$12:$Q$13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运的部份!$F$32:$Q$32</c:f>
              <c:numCache>
                <c:formatCode>0.0%</c:formatCode>
                <c:ptCount val="12"/>
                <c:pt idx="0">
                  <c:v>0</c:v>
                </c:pt>
                <c:pt idx="1">
                  <c:v>1.3333333333333334E-2</c:v>
                </c:pt>
                <c:pt idx="2">
                  <c:v>1.1049723756906077E-2</c:v>
                </c:pt>
                <c:pt idx="3">
                  <c:v>6.41025641025641E-3</c:v>
                </c:pt>
                <c:pt idx="4">
                  <c:v>0</c:v>
                </c:pt>
                <c:pt idx="5">
                  <c:v>8.1967213114754103E-3</c:v>
                </c:pt>
                <c:pt idx="6">
                  <c:v>4.7619047619047623E-3</c:v>
                </c:pt>
                <c:pt idx="7">
                  <c:v>5.263157894736842E-3</c:v>
                </c:pt>
                <c:pt idx="8">
                  <c:v>0</c:v>
                </c:pt>
                <c:pt idx="9">
                  <c:v>0</c:v>
                </c:pt>
                <c:pt idx="10">
                  <c:v>1.4814814814814815E-2</c:v>
                </c:pt>
                <c:pt idx="1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798384"/>
        <c:axId val="194797824"/>
      </c:lineChart>
      <c:catAx>
        <c:axId val="19450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797264"/>
        <c:crosses val="autoZero"/>
        <c:auto val="1"/>
        <c:lblAlgn val="ctr"/>
        <c:lblOffset val="100"/>
        <c:noMultiLvlLbl val="0"/>
      </c:catAx>
      <c:valAx>
        <c:axId val="19479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501792"/>
        <c:crosses val="autoZero"/>
        <c:crossBetween val="between"/>
      </c:valAx>
      <c:valAx>
        <c:axId val="19479782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798384"/>
        <c:crosses val="max"/>
        <c:crossBetween val="between"/>
      </c:valAx>
      <c:catAx>
        <c:axId val="194798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47978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新宋体" panose="02010609030101010101" pitchFamily="49" charset="-122"/>
                <a:ea typeface="新宋体" panose="02010609030101010101" pitchFamily="49" charset="-122"/>
                <a:cs typeface="+mn-cs"/>
              </a:defRPr>
            </a:pPr>
            <a:r>
              <a:rPr lang="zh-TW" altLang="en-US" sz="1200" b="0">
                <a:latin typeface="CorpoS" pitchFamily="2" charset="0"/>
                <a:ea typeface="新宋体" panose="02010609030101010101" pitchFamily="49" charset="-122"/>
              </a:rPr>
              <a:t>（</a:t>
            </a:r>
            <a:r>
              <a:rPr lang="en-US" altLang="zh-TW" sz="1200" b="0">
                <a:latin typeface="CorpoS" pitchFamily="2" charset="0"/>
                <a:ea typeface="新宋体" panose="02010609030101010101" pitchFamily="49" charset="-122"/>
              </a:rPr>
              <a:t>2019</a:t>
            </a:r>
            <a:r>
              <a:rPr lang="zh-TW" altLang="en-US" sz="1200" b="0">
                <a:latin typeface="CorpoS" pitchFamily="2" charset="0"/>
                <a:ea typeface="新宋体" panose="02010609030101010101" pitchFamily="49" charset="-122"/>
              </a:rPr>
              <a:t>年度各月）</a:t>
            </a:r>
            <a:r>
              <a:rPr lang="zh-TW" altLang="en-US" sz="1200" b="1">
                <a:latin typeface="新宋体" panose="02010609030101010101" pitchFamily="49" charset="-122"/>
                <a:ea typeface="新宋体" panose="02010609030101010101" pitchFamily="49" charset="-122"/>
              </a:rPr>
              <a:t>首次进店评估率</a:t>
            </a:r>
            <a:endParaRPr lang="zh-CN" altLang="en-US" sz="1200" b="0">
              <a:latin typeface="新宋体" panose="02010609030101010101" pitchFamily="49" charset="-122"/>
              <a:ea typeface="新宋体" panose="02010609030101010101" pitchFamily="49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运的部份!$C$14</c:f>
              <c:strCache>
                <c:ptCount val="1"/>
                <c:pt idx="0">
                  <c:v>首次进店客户数（有效)</c:v>
                </c:pt>
              </c:strCache>
            </c:strRef>
          </c:tx>
          <c:spPr>
            <a:noFill/>
            <a:ln w="25400">
              <a:solidFill>
                <a:srgbClr val="92D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运的部份!$F$12:$Q$13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运的部份!$R$14:$AC$14</c:f>
              <c:numCache>
                <c:formatCode>_(* #,##0_);_(* \(#,##0\);_(* "-"??_);_(@_)</c:formatCode>
                <c:ptCount val="12"/>
                <c:pt idx="0">
                  <c:v>924</c:v>
                </c:pt>
                <c:pt idx="1">
                  <c:v>916</c:v>
                </c:pt>
                <c:pt idx="2">
                  <c:v>1350</c:v>
                </c:pt>
                <c:pt idx="3">
                  <c:v>1181</c:v>
                </c:pt>
                <c:pt idx="4">
                  <c:v>1267</c:v>
                </c:pt>
                <c:pt idx="5">
                  <c:v>1330</c:v>
                </c:pt>
                <c:pt idx="6">
                  <c:v>1169</c:v>
                </c:pt>
                <c:pt idx="7">
                  <c:v>1230</c:v>
                </c:pt>
                <c:pt idx="8">
                  <c:v>1003</c:v>
                </c:pt>
                <c:pt idx="9">
                  <c:v>1060</c:v>
                </c:pt>
              </c:numCache>
            </c:numRef>
          </c:val>
        </c:ser>
        <c:ser>
          <c:idx val="1"/>
          <c:order val="1"/>
          <c:tx>
            <c:strRef>
              <c:f>运的部份!$C$15</c:f>
              <c:strCache>
                <c:ptCount val="1"/>
                <c:pt idx="0">
                  <c:v>评估数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运的部份!$F$12:$Q$13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运的部份!$R$15:$AC$15</c:f>
              <c:numCache>
                <c:formatCode>_(* #,##0_);_(* \(#,##0\);_(* "-"??_);_(@_)</c:formatCode>
                <c:ptCount val="12"/>
                <c:pt idx="0">
                  <c:v>69</c:v>
                </c:pt>
                <c:pt idx="1">
                  <c:v>66</c:v>
                </c:pt>
                <c:pt idx="2">
                  <c:v>146</c:v>
                </c:pt>
                <c:pt idx="3">
                  <c:v>99</c:v>
                </c:pt>
                <c:pt idx="4">
                  <c:v>119</c:v>
                </c:pt>
                <c:pt idx="5">
                  <c:v>123</c:v>
                </c:pt>
                <c:pt idx="6">
                  <c:v>117</c:v>
                </c:pt>
                <c:pt idx="7">
                  <c:v>110</c:v>
                </c:pt>
                <c:pt idx="8">
                  <c:v>90</c:v>
                </c:pt>
                <c:pt idx="9">
                  <c:v>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overlap val="100"/>
        <c:axId val="194802304"/>
        <c:axId val="194802864"/>
      </c:barChart>
      <c:lineChart>
        <c:grouping val="standard"/>
        <c:varyColors val="0"/>
        <c:ser>
          <c:idx val="2"/>
          <c:order val="2"/>
          <c:tx>
            <c:strRef>
              <c:f>运的部份!$C$27</c:f>
              <c:strCache>
                <c:ptCount val="1"/>
                <c:pt idx="0">
                  <c:v>首次进店评估率</c:v>
                </c:pt>
              </c:strCache>
            </c:strRef>
          </c:tx>
          <c:spPr>
            <a:ln w="31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运的部份!$F$12:$Q$13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运的部份!$R$27:$AC$27</c:f>
              <c:numCache>
                <c:formatCode>0.0%</c:formatCode>
                <c:ptCount val="12"/>
                <c:pt idx="0">
                  <c:v>7.4675324675324672E-2</c:v>
                </c:pt>
                <c:pt idx="1">
                  <c:v>7.2052401746724892E-2</c:v>
                </c:pt>
                <c:pt idx="2">
                  <c:v>0.10814814814814815</c:v>
                </c:pt>
                <c:pt idx="3">
                  <c:v>8.3827265029635903E-2</c:v>
                </c:pt>
                <c:pt idx="4">
                  <c:v>9.3922651933701654E-2</c:v>
                </c:pt>
                <c:pt idx="5">
                  <c:v>9.2481203007518803E-2</c:v>
                </c:pt>
                <c:pt idx="6">
                  <c:v>0.10008554319931566</c:v>
                </c:pt>
                <c:pt idx="7">
                  <c:v>8.943089430894309E-2</c:v>
                </c:pt>
                <c:pt idx="8">
                  <c:v>8.9730807577268201E-2</c:v>
                </c:pt>
                <c:pt idx="9">
                  <c:v>8.584905660377358E-2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803984"/>
        <c:axId val="194803424"/>
      </c:lineChart>
      <c:catAx>
        <c:axId val="19480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802864"/>
        <c:crosses val="autoZero"/>
        <c:auto val="1"/>
        <c:lblAlgn val="ctr"/>
        <c:lblOffset val="100"/>
        <c:noMultiLvlLbl val="0"/>
      </c:catAx>
      <c:valAx>
        <c:axId val="19480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802304"/>
        <c:crosses val="autoZero"/>
        <c:crossBetween val="between"/>
      </c:valAx>
      <c:valAx>
        <c:axId val="19480342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803984"/>
        <c:crosses val="max"/>
        <c:crossBetween val="between"/>
      </c:valAx>
      <c:catAx>
        <c:axId val="194803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48034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新宋体" panose="02010609030101010101" pitchFamily="49" charset="-122"/>
                <a:ea typeface="新宋体" panose="02010609030101010101" pitchFamily="49" charset="-122"/>
                <a:cs typeface="+mn-cs"/>
              </a:defRPr>
            </a:pPr>
            <a:r>
              <a:rPr lang="zh-TW" altLang="zh-CN" sz="1200" b="0" i="0" u="none" strike="noStrike" baseline="0">
                <a:effectLst/>
                <a:latin typeface="CorpoS" pitchFamily="2" charset="0"/>
              </a:rPr>
              <a:t>（</a:t>
            </a:r>
            <a:r>
              <a:rPr lang="en-US" altLang="zh-CN" sz="1200" b="0">
                <a:effectLst/>
                <a:latin typeface="CorpoS" pitchFamily="2" charset="0"/>
                <a:ea typeface="新宋体" panose="02010609030101010101" pitchFamily="49" charset="-122"/>
              </a:rPr>
              <a:t>2019</a:t>
            </a:r>
            <a:r>
              <a:rPr lang="zh-TW" altLang="zh-CN" sz="1200" b="0">
                <a:effectLst/>
                <a:latin typeface="CorpoS" pitchFamily="2" charset="0"/>
                <a:ea typeface="新宋体" panose="02010609030101010101" pitchFamily="49" charset="-122"/>
              </a:rPr>
              <a:t>年度各月</a:t>
            </a:r>
            <a:r>
              <a:rPr lang="zh-TW" altLang="zh-CN" sz="1200" b="0" i="0" u="none" strike="noStrike" baseline="0">
                <a:effectLst/>
                <a:latin typeface="CorpoS" pitchFamily="2" charset="0"/>
              </a:rPr>
              <a:t>）</a:t>
            </a:r>
            <a:r>
              <a:rPr lang="zh-TW" altLang="en-US" sz="1200" b="1" i="0" u="none" strike="noStrike" baseline="0">
                <a:effectLst/>
                <a:latin typeface="CorpoS" pitchFamily="2" charset="0"/>
              </a:rPr>
              <a:t>综合</a:t>
            </a:r>
            <a:r>
              <a:rPr lang="zh-TW" altLang="en-US" sz="1200" b="1">
                <a:latin typeface="新宋体" panose="02010609030101010101" pitchFamily="49" charset="-122"/>
                <a:ea typeface="新宋体" panose="02010609030101010101" pitchFamily="49" charset="-122"/>
              </a:rPr>
              <a:t>置换率</a:t>
            </a:r>
            <a:endParaRPr lang="zh-CN" altLang="en-US" sz="1200" b="0">
              <a:latin typeface="新宋体" panose="02010609030101010101" pitchFamily="49" charset="-122"/>
              <a:ea typeface="新宋体" panose="02010609030101010101" pitchFamily="49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运的部份!$C$22</c:f>
              <c:strCache>
                <c:ptCount val="1"/>
                <c:pt idx="0">
                  <c:v>新车销量(订单）</c:v>
                </c:pt>
              </c:strCache>
            </c:strRef>
          </c:tx>
          <c:spPr>
            <a:noFill/>
            <a:ln w="12700">
              <a:solidFill>
                <a:srgbClr val="7030A0"/>
              </a:solidFill>
              <a:prstDash val="sysDot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运的部份!$F$12:$Q$13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运的部份!$R$22:$AC$22</c:f>
              <c:numCache>
                <c:formatCode>_(* #,##0_);_(* \(#,##0\);_(* "-"??_);_(@_)</c:formatCode>
                <c:ptCount val="12"/>
                <c:pt idx="0">
                  <c:v>93</c:v>
                </c:pt>
                <c:pt idx="1">
                  <c:v>151</c:v>
                </c:pt>
                <c:pt idx="2">
                  <c:v>214</c:v>
                </c:pt>
                <c:pt idx="3">
                  <c:v>244</c:v>
                </c:pt>
                <c:pt idx="4">
                  <c:v>267</c:v>
                </c:pt>
                <c:pt idx="5">
                  <c:v>235</c:v>
                </c:pt>
                <c:pt idx="6">
                  <c:v>218</c:v>
                </c:pt>
                <c:pt idx="7">
                  <c:v>189</c:v>
                </c:pt>
                <c:pt idx="8">
                  <c:v>140</c:v>
                </c:pt>
                <c:pt idx="9">
                  <c:v>154</c:v>
                </c:pt>
              </c:numCache>
            </c:numRef>
          </c:val>
        </c:ser>
        <c:ser>
          <c:idx val="1"/>
          <c:order val="1"/>
          <c:tx>
            <c:strRef>
              <c:f>运的部份!$C$19</c:f>
              <c:strCache>
                <c:ptCount val="1"/>
                <c:pt idx="0">
                  <c:v>总置换数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运的部份!$F$12:$Q$13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运的部份!$R$19:$AC$19</c:f>
              <c:numCache>
                <c:formatCode>_(* #,##0_);_(* \(#,##0\);_(* "-"??_);_(@_)</c:formatCode>
                <c:ptCount val="12"/>
                <c:pt idx="0">
                  <c:v>7</c:v>
                </c:pt>
                <c:pt idx="1">
                  <c:v>1</c:v>
                </c:pt>
                <c:pt idx="2">
                  <c:v>12</c:v>
                </c:pt>
                <c:pt idx="3">
                  <c:v>8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9">
                  <c:v>14</c:v>
                </c:pt>
              </c:numCache>
            </c:numRef>
          </c:val>
        </c:ser>
        <c:ser>
          <c:idx val="3"/>
          <c:order val="2"/>
          <c:tx>
            <c:strRef>
              <c:f>运的部份!$C$25</c:f>
              <c:strCache>
                <c:ptCount val="1"/>
                <c:pt idx="0">
                  <c:v>本品置换数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运的部份!$F$12:$Q$13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运的部份!$R$25:$AC$25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194976176"/>
        <c:axId val="194976736"/>
      </c:barChart>
      <c:lineChart>
        <c:grouping val="standard"/>
        <c:varyColors val="0"/>
        <c:ser>
          <c:idx val="2"/>
          <c:order val="3"/>
          <c:tx>
            <c:strRef>
              <c:f>运的部份!$C$30</c:f>
              <c:strCache>
                <c:ptCount val="1"/>
                <c:pt idx="0">
                  <c:v>综合置换率</c:v>
                </c:pt>
              </c:strCache>
            </c:strRef>
          </c:tx>
          <c:spPr>
            <a:ln w="3175" cap="rnd">
              <a:solidFill>
                <a:srgbClr val="ED7D31">
                  <a:lumMod val="60000"/>
                  <a:lumOff val="40000"/>
                </a:srgbClr>
              </a:solidFill>
              <a:prstDash val="dash"/>
              <a:round/>
            </a:ln>
            <a:effectLst/>
          </c:spPr>
          <c:marker>
            <c:symbol val="square"/>
            <c:size val="5"/>
            <c:spPr>
              <a:solidFill>
                <a:srgbClr val="C00000">
                  <a:alpha val="50000"/>
                </a:srgbClr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运的部份!$F$12:$Q$13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运的部份!$R$30:$AC$30</c:f>
              <c:numCache>
                <c:formatCode>0.0%</c:formatCode>
                <c:ptCount val="12"/>
                <c:pt idx="0">
                  <c:v>7.5268817204301078E-2</c:v>
                </c:pt>
                <c:pt idx="1">
                  <c:v>6.6225165562913907E-3</c:v>
                </c:pt>
                <c:pt idx="2">
                  <c:v>5.6074766355140186E-2</c:v>
                </c:pt>
                <c:pt idx="3">
                  <c:v>3.2786885245901641E-2</c:v>
                </c:pt>
                <c:pt idx="4">
                  <c:v>4.49438202247191E-2</c:v>
                </c:pt>
                <c:pt idx="5">
                  <c:v>4.6808510638297871E-2</c:v>
                </c:pt>
                <c:pt idx="6">
                  <c:v>4.5871559633027525E-2</c:v>
                </c:pt>
                <c:pt idx="7">
                  <c:v>4.7619047619047616E-2</c:v>
                </c:pt>
                <c:pt idx="8">
                  <c:v>0</c:v>
                </c:pt>
                <c:pt idx="9">
                  <c:v>9.0909090909090912E-2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977856"/>
        <c:axId val="194977296"/>
      </c:lineChart>
      <c:catAx>
        <c:axId val="19497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976736"/>
        <c:crosses val="autoZero"/>
        <c:auto val="1"/>
        <c:lblAlgn val="ctr"/>
        <c:lblOffset val="100"/>
        <c:noMultiLvlLbl val="0"/>
      </c:catAx>
      <c:valAx>
        <c:axId val="19497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976176"/>
        <c:crosses val="autoZero"/>
        <c:crossBetween val="between"/>
      </c:valAx>
      <c:valAx>
        <c:axId val="194977296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977856"/>
        <c:crosses val="max"/>
        <c:crossBetween val="between"/>
      </c:valAx>
      <c:catAx>
        <c:axId val="194977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49772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新宋体" panose="02010609030101010101" pitchFamily="49" charset="-122"/>
                <a:ea typeface="新宋体" panose="02010609030101010101" pitchFamily="49" charset="-122"/>
                <a:cs typeface="+mn-cs"/>
              </a:defRPr>
            </a:pPr>
            <a:r>
              <a:rPr lang="zh-TW" altLang="zh-CN" sz="1200" b="0" i="0" u="none" strike="noStrike" baseline="0">
                <a:effectLst/>
                <a:latin typeface="CorpoS" pitchFamily="2" charset="0"/>
              </a:rPr>
              <a:t>（</a:t>
            </a:r>
            <a:r>
              <a:rPr lang="en-US" altLang="zh-CN" sz="1200" b="0">
                <a:effectLst/>
                <a:latin typeface="CorpoS" pitchFamily="2" charset="0"/>
                <a:ea typeface="新宋体" panose="02010609030101010101" pitchFamily="49" charset="-122"/>
              </a:rPr>
              <a:t>2019</a:t>
            </a:r>
            <a:r>
              <a:rPr lang="zh-TW" altLang="zh-CN" sz="1200" b="0">
                <a:effectLst/>
                <a:latin typeface="CorpoS" pitchFamily="2" charset="0"/>
                <a:ea typeface="新宋体" panose="02010609030101010101" pitchFamily="49" charset="-122"/>
              </a:rPr>
              <a:t>年度各月</a:t>
            </a:r>
            <a:r>
              <a:rPr lang="zh-TW" altLang="zh-CN" sz="1200" b="0" i="0" u="none" strike="noStrike" baseline="0">
                <a:effectLst/>
                <a:latin typeface="CorpoS" pitchFamily="2" charset="0"/>
              </a:rPr>
              <a:t>）</a:t>
            </a:r>
            <a:r>
              <a:rPr lang="zh-TW" altLang="en-US" sz="1200" b="1" i="0" u="none" strike="noStrike" baseline="0">
                <a:effectLst/>
                <a:latin typeface="CorpoS" pitchFamily="2" charset="0"/>
              </a:rPr>
              <a:t>本品</a:t>
            </a:r>
            <a:r>
              <a:rPr lang="zh-TW" altLang="en-US" sz="1200" b="1">
                <a:latin typeface="新宋体" panose="02010609030101010101" pitchFamily="49" charset="-122"/>
                <a:ea typeface="新宋体" panose="02010609030101010101" pitchFamily="49" charset="-122"/>
              </a:rPr>
              <a:t>置换率</a:t>
            </a:r>
            <a:endParaRPr lang="zh-CN" altLang="en-US" sz="1200" b="0">
              <a:latin typeface="新宋体" panose="02010609030101010101" pitchFamily="49" charset="-122"/>
              <a:ea typeface="新宋体" panose="02010609030101010101" pitchFamily="49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运的部份!$C$22</c:f>
              <c:strCache>
                <c:ptCount val="1"/>
                <c:pt idx="0">
                  <c:v>新车销量(订单）</c:v>
                </c:pt>
              </c:strCache>
            </c:strRef>
          </c:tx>
          <c:spPr>
            <a:noFill/>
            <a:ln w="12700">
              <a:solidFill>
                <a:srgbClr val="7030A0"/>
              </a:solidFill>
              <a:prstDash val="sysDot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orpoS" pitchFamily="2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运的部份!$F$12:$Q$13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运的部份!$R$22:$AC$22</c:f>
              <c:numCache>
                <c:formatCode>_(* #,##0_);_(* \(#,##0\);_(* "-"??_);_(@_)</c:formatCode>
                <c:ptCount val="12"/>
                <c:pt idx="0">
                  <c:v>93</c:v>
                </c:pt>
                <c:pt idx="1">
                  <c:v>151</c:v>
                </c:pt>
                <c:pt idx="2">
                  <c:v>214</c:v>
                </c:pt>
                <c:pt idx="3">
                  <c:v>244</c:v>
                </c:pt>
                <c:pt idx="4">
                  <c:v>267</c:v>
                </c:pt>
                <c:pt idx="5">
                  <c:v>235</c:v>
                </c:pt>
                <c:pt idx="6">
                  <c:v>218</c:v>
                </c:pt>
                <c:pt idx="7">
                  <c:v>189</c:v>
                </c:pt>
                <c:pt idx="8">
                  <c:v>140</c:v>
                </c:pt>
                <c:pt idx="9">
                  <c:v>154</c:v>
                </c:pt>
              </c:numCache>
            </c:numRef>
          </c:val>
        </c:ser>
        <c:ser>
          <c:idx val="1"/>
          <c:order val="1"/>
          <c:tx>
            <c:strRef>
              <c:f>运的部份!$C$20</c:f>
              <c:strCache>
                <c:ptCount val="1"/>
                <c:pt idx="0">
                  <c:v>*本品置换数（非售后介绍）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运的部份!$F$12:$Q$13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运的部份!$R$20:$AC$20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ser>
          <c:idx val="3"/>
          <c:order val="2"/>
          <c:tx>
            <c:strRef>
              <c:f>运的部份!$C$25</c:f>
              <c:strCache>
                <c:ptCount val="1"/>
                <c:pt idx="0">
                  <c:v>本品置换数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运的部份!$F$12:$Q$13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运的部份!$R$25:$AC$25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195175232"/>
        <c:axId val="195175792"/>
      </c:barChart>
      <c:lineChart>
        <c:grouping val="standard"/>
        <c:varyColors val="0"/>
        <c:ser>
          <c:idx val="2"/>
          <c:order val="3"/>
          <c:tx>
            <c:strRef>
              <c:f>运的部份!$C$32</c:f>
              <c:strCache>
                <c:ptCount val="1"/>
                <c:pt idx="0">
                  <c:v>本品置换率</c:v>
                </c:pt>
              </c:strCache>
            </c:strRef>
          </c:tx>
          <c:spPr>
            <a:ln w="3175" cap="rnd">
              <a:solidFill>
                <a:srgbClr val="92D050">
                  <a:alpha val="50000"/>
                </a:srgbClr>
              </a:solidFill>
              <a:prstDash val="dash"/>
              <a:round/>
            </a:ln>
            <a:effectLst/>
          </c:spPr>
          <c:marker>
            <c:symbol val="triangle"/>
            <c:size val="5"/>
            <c:spPr>
              <a:solidFill>
                <a:srgbClr val="70AD47">
                  <a:lumMod val="75000"/>
                  <a:alpha val="50000"/>
                </a:srgbClr>
              </a:solidFill>
              <a:ln w="9525">
                <a:solidFill>
                  <a:srgbClr val="92D050"/>
                </a:solidFill>
              </a:ln>
              <a:effectLst/>
            </c:spPr>
          </c:marker>
          <c:dLbls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92D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运的部份!$F$12:$Q$13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运的部份!$R$32:$AC$32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4.6728971962616819E-3</c:v>
                </c:pt>
                <c:pt idx="3">
                  <c:v>0</c:v>
                </c:pt>
                <c:pt idx="4">
                  <c:v>7.4906367041198503E-3</c:v>
                </c:pt>
                <c:pt idx="5">
                  <c:v>0</c:v>
                </c:pt>
                <c:pt idx="6">
                  <c:v>4.5871559633027525E-3</c:v>
                </c:pt>
                <c:pt idx="7">
                  <c:v>1.0582010582010581E-2</c:v>
                </c:pt>
                <c:pt idx="8">
                  <c:v>0</c:v>
                </c:pt>
                <c:pt idx="9">
                  <c:v>6.4935064935064939E-3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176912"/>
        <c:axId val="195176352"/>
      </c:lineChart>
      <c:catAx>
        <c:axId val="19517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175792"/>
        <c:crosses val="autoZero"/>
        <c:auto val="1"/>
        <c:lblAlgn val="ctr"/>
        <c:lblOffset val="100"/>
        <c:noMultiLvlLbl val="0"/>
      </c:catAx>
      <c:valAx>
        <c:axId val="19517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175232"/>
        <c:crosses val="autoZero"/>
        <c:crossBetween val="between"/>
      </c:valAx>
      <c:valAx>
        <c:axId val="19517635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176912"/>
        <c:crosses val="max"/>
        <c:crossBetween val="between"/>
      </c:valAx>
      <c:catAx>
        <c:axId val="195176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5176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LEXUS 简粗黑 U" panose="020B0904000101010104" pitchFamily="34" charset="-122"/>
                <a:ea typeface="LEXUS 简粗黑 U" panose="020B0904000101010104" pitchFamily="34" charset="-122"/>
                <a:cs typeface="+mn-cs"/>
              </a:defRPr>
            </a:pPr>
            <a:r>
              <a:rPr lang="en-US" altLang="zh-CN" sz="1200" b="0">
                <a:latin typeface="LEXUS 简粗黑 U" panose="020B0904000101010104" pitchFamily="34" charset="-122"/>
                <a:ea typeface="LEXUS 简粗黑 U" panose="020B0904000101010104" pitchFamily="34" charset="-122"/>
              </a:rPr>
              <a:t>2019</a:t>
            </a:r>
            <a:r>
              <a:rPr lang="zh-TW" altLang="en-US" sz="1200" b="0">
                <a:latin typeface="LEXUS 简粗黑 U" panose="020B0904000101010104" pitchFamily="34" charset="-122"/>
                <a:ea typeface="LEXUS 简粗黑 U" panose="020B0904000101010104" pitchFamily="34" charset="-122"/>
              </a:rPr>
              <a:t>年时间 </a:t>
            </a:r>
            <a:r>
              <a:rPr lang="en-US" altLang="zh-TW" sz="1200" b="0">
                <a:latin typeface="LEXUS 简粗黑 U" panose="020B0904000101010104" pitchFamily="34" charset="-122"/>
                <a:ea typeface="LEXUS 简粗黑 U" panose="020B0904000101010104" pitchFamily="34" charset="-122"/>
              </a:rPr>
              <a:t>/ </a:t>
            </a:r>
            <a:r>
              <a:rPr lang="zh-TW" altLang="en-US" sz="1200" b="0">
                <a:latin typeface="LEXUS 简粗黑 U" panose="020B0904000101010104" pitchFamily="34" charset="-122"/>
                <a:ea typeface="LEXUS 简粗黑 U" panose="020B0904000101010104" pitchFamily="34" charset="-122"/>
              </a:rPr>
              <a:t>台数 </a:t>
            </a:r>
            <a:r>
              <a:rPr lang="en-US" altLang="zh-TW" sz="1200" b="0">
                <a:latin typeface="LEXUS 简粗黑 U" panose="020B0904000101010104" pitchFamily="34" charset="-122"/>
                <a:ea typeface="LEXUS 简粗黑 U" panose="020B0904000101010104" pitchFamily="34" charset="-122"/>
              </a:rPr>
              <a:t>/ </a:t>
            </a:r>
            <a:r>
              <a:rPr lang="zh-TW" altLang="en-US" sz="1200" b="0">
                <a:latin typeface="LEXUS 简粗黑 U" panose="020B0904000101010104" pitchFamily="34" charset="-122"/>
                <a:ea typeface="LEXUS 简粗黑 U" panose="020B0904000101010104" pitchFamily="34" charset="-122"/>
              </a:rPr>
              <a:t>毛利完成进度图</a:t>
            </a:r>
            <a:endParaRPr lang="zh-CN" altLang="en-US" sz="1200" b="0">
              <a:latin typeface="LEXUS 简粗黑 U" panose="020B0904000101010104" pitchFamily="34" charset="-122"/>
              <a:ea typeface="LEXUS 简粗黑 U" panose="020B0904000101010104" pitchFamily="34" charset="-122"/>
            </a:endParaRPr>
          </a:p>
        </c:rich>
      </c:tx>
      <c:layout>
        <c:manualLayout>
          <c:xMode val="edge"/>
          <c:yMode val="edge"/>
          <c:x val="0.26673744847395897"/>
          <c:y val="7.99256834014863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LEXUS 简粗黑 U" panose="020B0904000101010104" pitchFamily="34" charset="-122"/>
              <a:ea typeface="LEXUS 简粗黑 U" panose="020B09040001010101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财的部份!$AG$42</c:f>
              <c:strCache>
                <c:ptCount val="1"/>
                <c:pt idx="0">
                  <c:v>时间进度：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5753148625389721"/>
                  <c:y val="-2.186538726412928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LEXUS 简中黑 U" panose="020B0604050101010104" pitchFamily="34" charset="-122"/>
                      <a:ea typeface="LEXUS 简中黑 U" panose="020B0604050101010104" pitchFamily="34" charset="-122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4204952919517733"/>
                      <c:h val="0.12507001515081953"/>
                    </c:manualLayout>
                  </c15:layout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EXUS 简中黑 U" panose="020B0604050101010104" pitchFamily="34" charset="-122"/>
                    <a:ea typeface="LEXUS 简中黑 U" panose="020B06040501010101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numRef>
              <c:f>财的部份!$AI$42</c:f>
              <c:numCache>
                <c:formatCode>0%</c:formatCode>
                <c:ptCount val="1"/>
                <c:pt idx="0">
                  <c:v>0.83333333333333337</c:v>
                </c:pt>
              </c:numCache>
            </c:numRef>
          </c:cat>
          <c:val>
            <c:numRef>
              <c:f>财的部份!$AI$42:$AJ$42</c:f>
              <c:numCache>
                <c:formatCode>0%</c:formatCode>
                <c:ptCount val="2"/>
                <c:pt idx="0">
                  <c:v>0.83333333333333337</c:v>
                </c:pt>
                <c:pt idx="1">
                  <c:v>0.16666666666666663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8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财的部份!$AG$43</c:f>
              <c:strCache>
                <c:ptCount val="1"/>
                <c:pt idx="0">
                  <c:v>台数完成百分比：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ysClr val="window" lastClr="FFFFFF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1"/>
              <c:layout>
                <c:manualLayout>
                  <c:x val="0.14476392073166036"/>
                  <c:y val="-7.495989034329689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LEXUS 简中黑 U" panose="020B0604050101010104" pitchFamily="34" charset="-122"/>
                      <a:ea typeface="LEXUS 简中黑 U" panose="020B0604050101010104" pitchFamily="34" charset="-122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90996490872793"/>
                      <c:h val="0.30429959095242604"/>
                    </c:manualLayout>
                  </c15:layout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EXUS 简中黑 U" panose="020B0604050101010104" pitchFamily="34" charset="-122"/>
                    <a:ea typeface="LEXUS 简中黑 U" panose="020B06040501010101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val>
            <c:numRef>
              <c:f>财的部份!$AH$43:$AJ$43</c:f>
              <c:numCache>
                <c:formatCode>0%</c:formatCode>
                <c:ptCount val="3"/>
                <c:pt idx="1">
                  <c:v>0.57541899441340782</c:v>
                </c:pt>
                <c:pt idx="2">
                  <c:v>0.42458100558659218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612738650137205"/>
          <c:y val="0.14882671962167596"/>
          <c:w val="0.51070777209788087"/>
          <c:h val="0.73934385636115574"/>
        </c:manualLayout>
      </c:layout>
      <c:doughnutChart>
        <c:varyColors val="1"/>
        <c:ser>
          <c:idx val="0"/>
          <c:order val="0"/>
          <c:tx>
            <c:strRef>
              <c:f>财的部份!$AG$44</c:f>
              <c:strCache>
                <c:ptCount val="1"/>
                <c:pt idx="0">
                  <c:v>毛利完成百分比：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ysClr val="window" lastClr="FFFFFF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1"/>
              <c:layout>
                <c:manualLayout>
                  <c:x val="-0.12859021831289369"/>
                  <c:y val="-0.2402691350071169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LEXUS 简中黑 U" panose="020B0604050101010104" pitchFamily="34" charset="-122"/>
                      <a:ea typeface="LEXUS 简中黑 U" panose="020B0604050101010104" pitchFamily="34" charset="-122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8366261857289591"/>
                      <c:h val="0.23638057277194915"/>
                    </c:manualLayout>
                  </c15:layout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val>
            <c:numRef>
              <c:f>财的部份!$AH$44:$AJ$44</c:f>
              <c:numCache>
                <c:formatCode>0%</c:formatCode>
                <c:ptCount val="3"/>
                <c:pt idx="1">
                  <c:v>0.77914060150375941</c:v>
                </c:pt>
                <c:pt idx="2">
                  <c:v>0.22085939849624059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LEXUS 简中黑 U" panose="020B0604050101010104" pitchFamily="34" charset="-122"/>
                <a:ea typeface="LEXUS 简中黑 U" panose="020B0604050101010104" pitchFamily="34" charset="-122"/>
                <a:cs typeface="+mn-cs"/>
              </a:defRPr>
            </a:pPr>
            <a:r>
              <a:rPr lang="zh-TW" altLang="en-US" b="1">
                <a:latin typeface="LEXUS 简中黑 U" panose="020B0604050101010104" pitchFamily="34" charset="-122"/>
                <a:ea typeface="LEXUS 简中黑 U" panose="020B0604050101010104" pitchFamily="34" charset="-122"/>
              </a:rPr>
              <a:t>两年</a:t>
            </a:r>
            <a:r>
              <a:rPr lang="zh-CN" altLang="en-US" b="1">
                <a:latin typeface="LEXUS 简中黑 U" panose="020B0604050101010104" pitchFamily="34" charset="-122"/>
                <a:ea typeface="LEXUS 简中黑 U" panose="020B0604050101010104" pitchFamily="34" charset="-122"/>
              </a:rPr>
              <a:t>批售金额 </a:t>
            </a:r>
            <a:r>
              <a:rPr lang="en-US" altLang="zh-TW" b="1">
                <a:latin typeface="LEXUS 简中黑 U" panose="020B0604050101010104" pitchFamily="34" charset="-122"/>
                <a:ea typeface="LEXUS 简中黑 U" panose="020B0604050101010104" pitchFamily="34" charset="-122"/>
              </a:rPr>
              <a:t>/ </a:t>
            </a:r>
            <a:r>
              <a:rPr lang="zh-TW" altLang="en-US" b="1">
                <a:latin typeface="LEXUS 简中黑 U" panose="020B0604050101010104" pitchFamily="34" charset="-122"/>
                <a:ea typeface="LEXUS 简中黑 U" panose="020B0604050101010104" pitchFamily="34" charset="-122"/>
              </a:rPr>
              <a:t>毛利率</a:t>
            </a:r>
            <a:endParaRPr lang="zh-CN" altLang="en-US" b="1">
              <a:latin typeface="LEXUS 简中黑 U" panose="020B0604050101010104" pitchFamily="34" charset="-122"/>
              <a:ea typeface="LEXUS 简中黑 U" panose="020B0604050101010104" pitchFamily="34" charset="-122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LEXUS 简中黑 U" panose="020B0604050101010104" pitchFamily="34" charset="-122"/>
              <a:ea typeface="LEXUS 简中黑 U" panose="020B06040501010101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财的部份!$AG$15</c:f>
              <c:strCache>
                <c:ptCount val="1"/>
                <c:pt idx="0">
                  <c:v>总批售金额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8.200046486175662E-5"/>
                  <c:y val="0.51099560673428501"/>
                </c:manualLayout>
              </c:layout>
              <c:numFmt formatCode="&quot;¥&quot;#,##0_);[Red]\(&quot;¥&quot;#,##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3.6054218476379392E-3"/>
                  <c:y val="0.38110728040027891"/>
                </c:manualLayout>
              </c:layout>
              <c:numFmt formatCode="&quot;¥&quot;#,##0_);[Red]\(&quot;¥&quot;#,##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&quot;¥&quot;#,##0_);[Red]\(&quot;¥&quot;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财的部份!$AH$13:$AI$14</c:f>
              <c:strCache>
                <c:ptCount val="2"/>
                <c:pt idx="0">
                  <c:v>2018年表现</c:v>
                </c:pt>
                <c:pt idx="1">
                  <c:v>2019年表现</c:v>
                </c:pt>
              </c:strCache>
            </c:strRef>
          </c:cat>
          <c:val>
            <c:numRef>
              <c:f>财的部份!$AH$15:$AI$15</c:f>
              <c:numCache>
                <c:formatCode>_(* #,##0_);_(* \(#,##0\);_(* "-"??_);_(@_)</c:formatCode>
                <c:ptCount val="2"/>
                <c:pt idx="0">
                  <c:v>7423600</c:v>
                </c:pt>
                <c:pt idx="1">
                  <c:v>5511300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6970528"/>
        <c:axId val="266971088"/>
      </c:barChart>
      <c:lineChart>
        <c:grouping val="standard"/>
        <c:varyColors val="0"/>
        <c:ser>
          <c:idx val="1"/>
          <c:order val="1"/>
          <c:tx>
            <c:strRef>
              <c:f>财的部份!$AG$18</c:f>
              <c:strCache>
                <c:ptCount val="1"/>
                <c:pt idx="0">
                  <c:v>批售毛利率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  <a:headEnd type="triangle"/>
              <a:tailEnd type="triangle"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12158214699738266"/>
                  <c:y val="1.34811207507015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1.8437043882777567E-2"/>
                  <c:y val="-1.34811661739495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0000"/>
                    </a:solidFill>
                    <a:latin typeface="LEXUS 简中黑 U" panose="020B0604050101010104" pitchFamily="34" charset="-122"/>
                    <a:ea typeface="LEXUS 简中黑 U" panose="020B06040501010101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财的部份!$AH$18:$AI$18</c:f>
              <c:numCache>
                <c:formatCode>0.0%</c:formatCode>
                <c:ptCount val="2"/>
                <c:pt idx="0">
                  <c:v>8.5338919122797563E-2</c:v>
                </c:pt>
                <c:pt idx="1">
                  <c:v>9.4297171266307406E-2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798928"/>
        <c:axId val="304801168"/>
      </c:lineChart>
      <c:catAx>
        <c:axId val="26697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EXUS 简中黑 U" panose="020B0604050101010104" pitchFamily="34" charset="-122"/>
                <a:ea typeface="LEXUS 简中黑 U" panose="020B0604050101010104" pitchFamily="34" charset="-122"/>
                <a:cs typeface="+mn-cs"/>
              </a:defRPr>
            </a:pPr>
            <a:endParaRPr lang="zh-CN"/>
          </a:p>
        </c:txPr>
        <c:crossAx val="266971088"/>
        <c:crosses val="autoZero"/>
        <c:auto val="1"/>
        <c:lblAlgn val="ctr"/>
        <c:lblOffset val="100"/>
        <c:noMultiLvlLbl val="0"/>
      </c:catAx>
      <c:valAx>
        <c:axId val="26697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6970528"/>
        <c:crosses val="autoZero"/>
        <c:crossBetween val="between"/>
      </c:valAx>
      <c:valAx>
        <c:axId val="304801168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4798928"/>
        <c:crosses val="max"/>
        <c:crossBetween val="between"/>
      </c:valAx>
      <c:catAx>
        <c:axId val="304798928"/>
        <c:scaling>
          <c:orientation val="minMax"/>
        </c:scaling>
        <c:delete val="1"/>
        <c:axPos val="b"/>
        <c:majorTickMark val="out"/>
        <c:minorTickMark val="none"/>
        <c:tickLblPos val="nextTo"/>
        <c:crossAx val="30480116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LEXUS 简中黑 U" panose="020B0604050101010104" pitchFamily="34" charset="-122"/>
                <a:ea typeface="LEXUS 简中黑 U" panose="020B0604050101010104" pitchFamily="34" charset="-122"/>
                <a:cs typeface="+mn-cs"/>
              </a:defRPr>
            </a:pPr>
            <a:r>
              <a:rPr lang="zh-TW" altLang="en-US" b="1">
                <a:latin typeface="LEXUS 简中黑 U" panose="020B0604050101010104" pitchFamily="34" charset="-122"/>
                <a:ea typeface="LEXUS 简中黑 U" panose="020B0604050101010104" pitchFamily="34" charset="-122"/>
              </a:rPr>
              <a:t>两年</a:t>
            </a:r>
            <a:r>
              <a:rPr lang="zh-CN" altLang="en-US" b="1">
                <a:latin typeface="LEXUS 简中黑 U" panose="020B0604050101010104" pitchFamily="34" charset="-122"/>
                <a:ea typeface="LEXUS 简中黑 U" panose="020B0604050101010104" pitchFamily="34" charset="-122"/>
              </a:rPr>
              <a:t>批售</a:t>
            </a:r>
            <a:r>
              <a:rPr lang="zh-TW" altLang="en-US" b="1">
                <a:latin typeface="LEXUS 简中黑 U" panose="020B0604050101010104" pitchFamily="34" charset="-122"/>
                <a:ea typeface="LEXUS 简中黑 U" panose="020B0604050101010104" pitchFamily="34" charset="-122"/>
              </a:rPr>
              <a:t>毛利额 </a:t>
            </a:r>
            <a:r>
              <a:rPr lang="en-US" altLang="zh-TW" b="1">
                <a:latin typeface="LEXUS 简中黑 U" panose="020B0604050101010104" pitchFamily="34" charset="-122"/>
                <a:ea typeface="LEXUS 简中黑 U" panose="020B0604050101010104" pitchFamily="34" charset="-122"/>
              </a:rPr>
              <a:t>/ </a:t>
            </a:r>
            <a:r>
              <a:rPr lang="zh-TW" altLang="en-US" b="1">
                <a:latin typeface="LEXUS 简中黑 U" panose="020B0604050101010104" pitchFamily="34" charset="-122"/>
                <a:ea typeface="LEXUS 简中黑 U" panose="020B0604050101010104" pitchFamily="34" charset="-122"/>
              </a:rPr>
              <a:t>售出台数</a:t>
            </a:r>
            <a:endParaRPr lang="zh-CN" altLang="en-US" b="1">
              <a:latin typeface="LEXUS 简中黑 U" panose="020B0604050101010104" pitchFamily="34" charset="-122"/>
              <a:ea typeface="LEXUS 简中黑 U" panose="020B0604050101010104" pitchFamily="34" charset="-122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LEXUS 简中黑 U" panose="020B0604050101010104" pitchFamily="34" charset="-122"/>
              <a:ea typeface="LEXUS 简中黑 U" panose="020B06040501010101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财的部份!$AG$17</c:f>
              <c:strCache>
                <c:ptCount val="1"/>
                <c:pt idx="0">
                  <c:v>总批售毛利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9BD5">
                  <a:lumMod val="60000"/>
                  <a:lumOff val="40000"/>
                </a:srgb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-3.726023865367262E-3"/>
                  <c:y val="0.447562231149875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3.7260238653672281E-3"/>
                  <c:y val="0.3728795498427057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&quot;¥&quot;#,##0_);[Red]\(&quot;¥&quot;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EXUS 简中黑 U" panose="020B0604050101010104" pitchFamily="34" charset="-122"/>
                    <a:ea typeface="LEXUS 简中黑 U" panose="020B06040501010101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财的部份!$AH$13:$AI$14</c:f>
              <c:strCache>
                <c:ptCount val="2"/>
                <c:pt idx="0">
                  <c:v>2018年表现</c:v>
                </c:pt>
                <c:pt idx="1">
                  <c:v>2019年表现</c:v>
                </c:pt>
              </c:strCache>
            </c:strRef>
          </c:cat>
          <c:val>
            <c:numRef>
              <c:f>财的部份!$AH$17:$AI$17</c:f>
              <c:numCache>
                <c:formatCode>_(* #,##0_);_(* \(#,##0\);_(* "-"??_);_(@_)</c:formatCode>
                <c:ptCount val="2"/>
                <c:pt idx="0">
                  <c:v>633522</c:v>
                </c:pt>
                <c:pt idx="1">
                  <c:v>519700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0760448"/>
        <c:axId val="300759888"/>
      </c:barChart>
      <c:lineChart>
        <c:grouping val="standard"/>
        <c:varyColors val="0"/>
        <c:ser>
          <c:idx val="1"/>
          <c:order val="1"/>
          <c:tx>
            <c:strRef>
              <c:f>财的部份!$AG$16</c:f>
              <c:strCache>
                <c:ptCount val="1"/>
                <c:pt idx="0">
                  <c:v>总批售台数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  <a:headEnd type="triangle"/>
              <a:tailEnd type="triangle"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5311115588908048E-2"/>
                  <c:y val="-5.386280042029949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latin typeface="LEXUS 简中黑 U" panose="020B0604050101010104" pitchFamily="34" charset="-122"/>
                      <a:ea typeface="LEXUS 简中黑 U" panose="020B0604050101010104" pitchFamily="34" charset="-122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7.7394557249589713E-2"/>
                  <c:y val="-6.743684714034543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latin typeface="LEXUS 简中黑 U" panose="020B0604050101010104" pitchFamily="34" charset="-122"/>
                      <a:ea typeface="LEXUS 简中黑 U" panose="020B0604050101010104" pitchFamily="34" charset="-122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EXUS 简中黑 U" panose="020B0604050101010104" pitchFamily="34" charset="-122"/>
                    <a:ea typeface="LEXUS 简中黑 U" panose="020B06040501010101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财的部份!$AH$16:$AI$16</c:f>
              <c:numCache>
                <c:formatCode>_(* #,##0_);_(* \(#,##0\);_(* "-"??_);_(@_)</c:formatCode>
                <c:ptCount val="2"/>
                <c:pt idx="0">
                  <c:v>111</c:v>
                </c:pt>
                <c:pt idx="1">
                  <c:v>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028864"/>
        <c:axId val="266031104"/>
      </c:lineChart>
      <c:catAx>
        <c:axId val="30076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EXUS 简中黑 U" panose="020B0604050101010104" pitchFamily="34" charset="-122"/>
                <a:ea typeface="LEXUS 简中黑 U" panose="020B0604050101010104" pitchFamily="34" charset="-122"/>
                <a:cs typeface="+mn-cs"/>
              </a:defRPr>
            </a:pPr>
            <a:endParaRPr lang="zh-CN"/>
          </a:p>
        </c:txPr>
        <c:crossAx val="300759888"/>
        <c:crosses val="autoZero"/>
        <c:auto val="1"/>
        <c:lblAlgn val="ctr"/>
        <c:lblOffset val="100"/>
        <c:noMultiLvlLbl val="0"/>
      </c:catAx>
      <c:valAx>
        <c:axId val="30075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0760448"/>
        <c:crosses val="autoZero"/>
        <c:crossBetween val="between"/>
      </c:valAx>
      <c:valAx>
        <c:axId val="266031104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6028864"/>
        <c:crosses val="max"/>
        <c:crossBetween val="between"/>
      </c:valAx>
      <c:catAx>
        <c:axId val="266028864"/>
        <c:scaling>
          <c:orientation val="minMax"/>
        </c:scaling>
        <c:delete val="1"/>
        <c:axPos val="b"/>
        <c:majorTickMark val="out"/>
        <c:minorTickMark val="none"/>
        <c:tickLblPos val="nextTo"/>
        <c:crossAx val="26603110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LEXUS 简中黑 U" panose="020B0604050101010104" pitchFamily="34" charset="-122"/>
                <a:ea typeface="LEXUS 简中黑 U" panose="020B0604050101010104" pitchFamily="34" charset="-122"/>
                <a:cs typeface="+mn-cs"/>
              </a:defRPr>
            </a:pPr>
            <a:r>
              <a:rPr lang="zh-TW" altLang="en-US" b="1">
                <a:latin typeface="LEXUS 简中黑 U" panose="020B0604050101010104" pitchFamily="34" charset="-122"/>
                <a:ea typeface="LEXUS 简中黑 U" panose="020B0604050101010104" pitchFamily="34" charset="-122"/>
              </a:rPr>
              <a:t>两年零</a:t>
            </a:r>
            <a:r>
              <a:rPr lang="zh-CN" altLang="en-US" b="1">
                <a:latin typeface="LEXUS 简中黑 U" panose="020B0604050101010104" pitchFamily="34" charset="-122"/>
                <a:ea typeface="LEXUS 简中黑 U" panose="020B0604050101010104" pitchFamily="34" charset="-122"/>
              </a:rPr>
              <a:t>售金额 </a:t>
            </a:r>
            <a:r>
              <a:rPr lang="en-US" altLang="zh-TW" b="1">
                <a:latin typeface="LEXUS 简中黑 U" panose="020B0604050101010104" pitchFamily="34" charset="-122"/>
                <a:ea typeface="LEXUS 简中黑 U" panose="020B0604050101010104" pitchFamily="34" charset="-122"/>
              </a:rPr>
              <a:t>/ </a:t>
            </a:r>
            <a:r>
              <a:rPr lang="zh-TW" altLang="en-US" b="1">
                <a:latin typeface="LEXUS 简中黑 U" panose="020B0604050101010104" pitchFamily="34" charset="-122"/>
                <a:ea typeface="LEXUS 简中黑 U" panose="020B0604050101010104" pitchFamily="34" charset="-122"/>
              </a:rPr>
              <a:t>毛利率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LEXUS 简中黑 U" panose="020B0604050101010104" pitchFamily="34" charset="-122"/>
              <a:ea typeface="LEXUS 简中黑 U" panose="020B06040501010101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财的部份!$AG$20</c:f>
              <c:strCache>
                <c:ptCount val="1"/>
                <c:pt idx="0">
                  <c:v>总零售金额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>
                  <a:lumMod val="60000"/>
                  <a:lumOff val="40000"/>
                </a:srgb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</c:dPt>
          <c:dLbls>
            <c:numFmt formatCode="&quot;¥&quot;#,##0_);[Red]\(&quot;¥&quot;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EXUS 简中黑 U" panose="020B0604050101010104" pitchFamily="34" charset="-122"/>
                    <a:ea typeface="LEXUS 简中黑 U" panose="020B0604050101010104" pitchFamily="34" charset="-122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财的部份!$AH$13:$AI$14</c:f>
              <c:strCache>
                <c:ptCount val="2"/>
                <c:pt idx="0">
                  <c:v>2018年表现</c:v>
                </c:pt>
                <c:pt idx="1">
                  <c:v>2019年表现</c:v>
                </c:pt>
              </c:strCache>
            </c:strRef>
          </c:cat>
          <c:val>
            <c:numRef>
              <c:f>财的部份!$AH$20:$AI$20</c:f>
              <c:numCache>
                <c:formatCode>_(* #,##0_);_(* \(#,##0\);_(* "-"??_);_(@_)</c:formatCode>
                <c:ptCount val="2"/>
                <c:pt idx="0">
                  <c:v>3445800</c:v>
                </c:pt>
                <c:pt idx="1">
                  <c:v>6889294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5983216"/>
        <c:axId val="345983776"/>
      </c:barChart>
      <c:lineChart>
        <c:grouping val="standard"/>
        <c:varyColors val="0"/>
        <c:ser>
          <c:idx val="1"/>
          <c:order val="1"/>
          <c:tx>
            <c:strRef>
              <c:f>财的部份!$AG$23</c:f>
              <c:strCache>
                <c:ptCount val="1"/>
                <c:pt idx="0">
                  <c:v>零售毛利率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  <a:headEnd type="triangle"/>
              <a:tailEnd type="triangle"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12834227686994984"/>
                  <c:y val="-1.374078920817890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latin typeface="LEXUS 简中黑 U" panose="020B0604050101010104" pitchFamily="34" charset="-122"/>
                      <a:ea typeface="LEXUS 简中黑 U" panose="020B0604050101010104" pitchFamily="34" charset="-122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2.2001533177705691E-2"/>
                  <c:y val="6.87039460408945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latin typeface="LEXUS 简中黑 U" panose="020B0604050101010104" pitchFamily="34" charset="-122"/>
                      <a:ea typeface="LEXUS 简中黑 U" panose="020B0604050101010104" pitchFamily="34" charset="-122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LEXUS 简中黑 U" panose="020B0604050101010104" pitchFamily="34" charset="-122"/>
                    <a:ea typeface="LEXUS 简中黑 U" panose="020B06040501010101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财的部份!$AH$23:$AI$23</c:f>
              <c:numCache>
                <c:formatCode>0.0%</c:formatCode>
                <c:ptCount val="2"/>
                <c:pt idx="0">
                  <c:v>8.7535550525277145E-2</c:v>
                </c:pt>
                <c:pt idx="1">
                  <c:v>7.49796713567457E-2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1186352"/>
        <c:axId val="345984336"/>
      </c:lineChart>
      <c:catAx>
        <c:axId val="34598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EXUS 简中黑 U" panose="020B0604050101010104" pitchFamily="34" charset="-122"/>
                <a:ea typeface="LEXUS 简中黑 U" panose="020B0604050101010104" pitchFamily="34" charset="-122"/>
                <a:cs typeface="+mn-cs"/>
              </a:defRPr>
            </a:pPr>
            <a:endParaRPr lang="zh-CN"/>
          </a:p>
        </c:txPr>
        <c:crossAx val="345983776"/>
        <c:crosses val="autoZero"/>
        <c:auto val="1"/>
        <c:lblAlgn val="ctr"/>
        <c:lblOffset val="100"/>
        <c:noMultiLvlLbl val="0"/>
      </c:catAx>
      <c:valAx>
        <c:axId val="34598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5983216"/>
        <c:crosses val="autoZero"/>
        <c:crossBetween val="between"/>
      </c:valAx>
      <c:valAx>
        <c:axId val="345984336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1186352"/>
        <c:crosses val="max"/>
        <c:crossBetween val="between"/>
      </c:valAx>
      <c:catAx>
        <c:axId val="301186352"/>
        <c:scaling>
          <c:orientation val="minMax"/>
        </c:scaling>
        <c:delete val="1"/>
        <c:axPos val="b"/>
        <c:majorTickMark val="out"/>
        <c:minorTickMark val="none"/>
        <c:tickLblPos val="nextTo"/>
        <c:crossAx val="3459843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LEXUS 简中黑 U" panose="020B0604050101010104" pitchFamily="34" charset="-122"/>
                <a:ea typeface="LEXUS 简中黑 U" panose="020B0604050101010104" pitchFamily="34" charset="-122"/>
                <a:cs typeface="+mn-cs"/>
              </a:defRPr>
            </a:pPr>
            <a:r>
              <a:rPr lang="zh-TW" altLang="en-US" b="1">
                <a:latin typeface="LEXUS 简中黑 U" panose="020B0604050101010104" pitchFamily="34" charset="-122"/>
                <a:ea typeface="LEXUS 简中黑 U" panose="020B0604050101010104" pitchFamily="34" charset="-122"/>
              </a:rPr>
              <a:t>两年零</a:t>
            </a:r>
            <a:r>
              <a:rPr lang="zh-CN" altLang="en-US" b="1">
                <a:latin typeface="LEXUS 简中黑 U" panose="020B0604050101010104" pitchFamily="34" charset="-122"/>
                <a:ea typeface="LEXUS 简中黑 U" panose="020B0604050101010104" pitchFamily="34" charset="-122"/>
              </a:rPr>
              <a:t>售</a:t>
            </a:r>
            <a:r>
              <a:rPr lang="zh-TW" altLang="en-US" b="1">
                <a:latin typeface="LEXUS 简中黑 U" panose="020B0604050101010104" pitchFamily="34" charset="-122"/>
                <a:ea typeface="LEXUS 简中黑 U" panose="020B0604050101010104" pitchFamily="34" charset="-122"/>
              </a:rPr>
              <a:t>毛利额 </a:t>
            </a:r>
            <a:r>
              <a:rPr lang="en-US" altLang="zh-TW" b="1">
                <a:latin typeface="LEXUS 简中黑 U" panose="020B0604050101010104" pitchFamily="34" charset="-122"/>
                <a:ea typeface="LEXUS 简中黑 U" panose="020B0604050101010104" pitchFamily="34" charset="-122"/>
              </a:rPr>
              <a:t>/ </a:t>
            </a:r>
            <a:r>
              <a:rPr lang="zh-TW" altLang="en-US" b="1">
                <a:latin typeface="LEXUS 简中黑 U" panose="020B0604050101010104" pitchFamily="34" charset="-122"/>
                <a:ea typeface="LEXUS 简中黑 U" panose="020B0604050101010104" pitchFamily="34" charset="-122"/>
              </a:rPr>
              <a:t>售出台数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LEXUS 简中黑 U" panose="020B0604050101010104" pitchFamily="34" charset="-122"/>
              <a:ea typeface="LEXUS 简中黑 U" panose="020B06040501010101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财的部份!$AG$22</c:f>
              <c:strCache>
                <c:ptCount val="1"/>
                <c:pt idx="0">
                  <c:v>总零售毛利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9BD5">
                  <a:lumMod val="60000"/>
                  <a:lumOff val="40000"/>
                </a:srgb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Lbls>
            <c:numFmt formatCode="&quot;¥&quot;#,##0_);[Red]\(&quot;¥&quot;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EXUS 简中黑 U" panose="020B0604050101010104" pitchFamily="34" charset="-122"/>
                    <a:ea typeface="LEXUS 简中黑 U" panose="020B0604050101010104" pitchFamily="34" charset="-122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财的部份!$AH$13:$AI$14</c:f>
              <c:strCache>
                <c:ptCount val="2"/>
                <c:pt idx="0">
                  <c:v>2018年表现</c:v>
                </c:pt>
                <c:pt idx="1">
                  <c:v>2019年表现</c:v>
                </c:pt>
              </c:strCache>
            </c:strRef>
          </c:cat>
          <c:val>
            <c:numRef>
              <c:f>财的部份!$AH$22:$AI$22</c:f>
              <c:numCache>
                <c:formatCode>_(* #,##0_);_(* \(#,##0\);_(* "-"??_);_(@_)</c:formatCode>
                <c:ptCount val="2"/>
                <c:pt idx="0">
                  <c:v>301630</c:v>
                </c:pt>
                <c:pt idx="1">
                  <c:v>516557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5103056"/>
        <c:axId val="306363088"/>
      </c:barChart>
      <c:lineChart>
        <c:grouping val="standard"/>
        <c:varyColors val="0"/>
        <c:ser>
          <c:idx val="1"/>
          <c:order val="1"/>
          <c:tx>
            <c:strRef>
              <c:f>财的部份!$AG$21</c:f>
              <c:strCache>
                <c:ptCount val="1"/>
                <c:pt idx="0">
                  <c:v>总零售台数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  <a:headEnd type="triangle"/>
              <a:tailEnd type="triangle"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565345144444773E-2"/>
                  <c:y val="-8.86363477744545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7.659569335185569E-2"/>
                  <c:y val="-5.45454447842797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LEXUS 简中黑 U" panose="020B0604050101010104" pitchFamily="34" charset="-122"/>
                    <a:ea typeface="LEXUS 简中黑 U" panose="020B06040501010101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财的部份!$AH$21:$AI$21</c:f>
              <c:numCache>
                <c:formatCode>_(* #,##0_);_(* \(#,##0\);_(* "-"??_);_(@_)</c:formatCode>
                <c:ptCount val="2"/>
                <c:pt idx="0">
                  <c:v>13</c:v>
                </c:pt>
                <c:pt idx="1">
                  <c:v>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159104"/>
        <c:axId val="304761488"/>
      </c:lineChart>
      <c:catAx>
        <c:axId val="26510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EXUS 简中黑 U" panose="020B0604050101010104" pitchFamily="34" charset="-122"/>
                <a:ea typeface="LEXUS 简中黑 U" panose="020B0604050101010104" pitchFamily="34" charset="-122"/>
                <a:cs typeface="+mn-cs"/>
              </a:defRPr>
            </a:pPr>
            <a:endParaRPr lang="zh-CN"/>
          </a:p>
        </c:txPr>
        <c:crossAx val="306363088"/>
        <c:crosses val="autoZero"/>
        <c:auto val="1"/>
        <c:lblAlgn val="ctr"/>
        <c:lblOffset val="100"/>
        <c:noMultiLvlLbl val="0"/>
      </c:catAx>
      <c:valAx>
        <c:axId val="30636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5103056"/>
        <c:crosses val="autoZero"/>
        <c:crossBetween val="between"/>
      </c:valAx>
      <c:valAx>
        <c:axId val="304761488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159104"/>
        <c:crosses val="max"/>
        <c:crossBetween val="between"/>
      </c:valAx>
      <c:catAx>
        <c:axId val="200159104"/>
        <c:scaling>
          <c:orientation val="minMax"/>
        </c:scaling>
        <c:delete val="1"/>
        <c:axPos val="b"/>
        <c:majorTickMark val="out"/>
        <c:minorTickMark val="none"/>
        <c:tickLblPos val="nextTo"/>
        <c:crossAx val="304761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LEXUS 简中黑 U" panose="020B0604050101010104" pitchFamily="34" charset="-122"/>
                <a:ea typeface="LEXUS 简中黑 U" panose="020B0604050101010104" pitchFamily="34" charset="-122"/>
                <a:cs typeface="+mn-cs"/>
              </a:defRPr>
            </a:pPr>
            <a:r>
              <a:rPr lang="en-US" altLang="zh-CN" b="1">
                <a:latin typeface="LEXUS 简中黑 U" panose="020B0604050101010104" pitchFamily="34" charset="-122"/>
                <a:ea typeface="LEXUS 简中黑 U" panose="020B0604050101010104" pitchFamily="34" charset="-122"/>
              </a:rPr>
              <a:t>2018</a:t>
            </a:r>
            <a:r>
              <a:rPr lang="zh-TW" altLang="en-US" b="1">
                <a:latin typeface="LEXUS 简中黑 U" panose="020B0604050101010104" pitchFamily="34" charset="-122"/>
                <a:ea typeface="LEXUS 简中黑 U" panose="020B0604050101010104" pitchFamily="34" charset="-122"/>
              </a:rPr>
              <a:t>零售组合分析</a:t>
            </a:r>
            <a:endParaRPr lang="zh-CN" altLang="en-US" b="1">
              <a:latin typeface="LEXUS 简中黑 U" panose="020B0604050101010104" pitchFamily="34" charset="-122"/>
              <a:ea typeface="LEXUS 简中黑 U" panose="020B0604050101010104" pitchFamily="34" charset="-122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LEXUS 简中黑 U" panose="020B0604050101010104" pitchFamily="34" charset="-122"/>
              <a:ea typeface="LEXUS 简中黑 U" panose="020B06040501010101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2"/>
              <c:layout>
                <c:manualLayout>
                  <c:x val="0.25959164235897192"/>
                  <c:y val="-7.923028561164002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LEXUS 简中黑 U" panose="020B0604050101010104" pitchFamily="34" charset="-122"/>
                      <a:ea typeface="LEXUS 简中黑 U" panose="020B0604050101010104" pitchFamily="34" charset="-122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财的部份!$AG$25:$AG$27</c:f>
              <c:strCache>
                <c:ptCount val="3"/>
                <c:pt idx="0">
                  <c:v>PO数/零售占比</c:v>
                </c:pt>
                <c:pt idx="1">
                  <c:v>LPO数/零售占比</c:v>
                </c:pt>
                <c:pt idx="2">
                  <c:v>CPO数/零售占比</c:v>
                </c:pt>
              </c:strCache>
            </c:strRef>
          </c:cat>
          <c:val>
            <c:numRef>
              <c:f>财的部份!$AH$25:$AH$27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LEXUS 简中黑 U" panose="020B0604050101010104" pitchFamily="34" charset="-122"/>
              <a:ea typeface="LEXUS 简中黑 U" panose="020B06040501010101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LEXUS 简中黑 U" panose="020B0604050101010104" pitchFamily="34" charset="-122"/>
                <a:ea typeface="LEXUS 简中黑 U" panose="020B0604050101010104" pitchFamily="34" charset="-122"/>
                <a:cs typeface="+mn-cs"/>
              </a:defRPr>
            </a:pPr>
            <a:r>
              <a:rPr lang="en-US" altLang="zh-CN" b="1">
                <a:latin typeface="LEXUS 简中黑 U" panose="020B0604050101010104" pitchFamily="34" charset="-122"/>
                <a:ea typeface="LEXUS 简中黑 U" panose="020B0604050101010104" pitchFamily="34" charset="-122"/>
              </a:rPr>
              <a:t>2019</a:t>
            </a:r>
            <a:r>
              <a:rPr lang="zh-TW" altLang="en-US" b="1">
                <a:latin typeface="LEXUS 简中黑 U" panose="020B0604050101010104" pitchFamily="34" charset="-122"/>
                <a:ea typeface="LEXUS 简中黑 U" panose="020B0604050101010104" pitchFamily="34" charset="-122"/>
              </a:rPr>
              <a:t>零售台数组合分析</a:t>
            </a:r>
            <a:endParaRPr lang="zh-CN" altLang="en-US" b="1">
              <a:latin typeface="LEXUS 简中黑 U" panose="020B0604050101010104" pitchFamily="34" charset="-122"/>
              <a:ea typeface="LEXUS 简中黑 U" panose="020B0604050101010104" pitchFamily="34" charset="-122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LEXUS 简中黑 U" panose="020B0604050101010104" pitchFamily="34" charset="-122"/>
              <a:ea typeface="LEXUS 简中黑 U" panose="020B06040501010101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9148445102184958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20621402417737653"/>
                  <c:y val="-0.1365473937725787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370271571888724"/>
                  <c:y val="0.106650661766588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EXUS 简中黑 U" panose="020B0604050101010104" pitchFamily="34" charset="-122"/>
                    <a:ea typeface="LEXUS 简中黑 U" panose="020B06040501010101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财的部份!$AG$25:$AG$27</c:f>
              <c:strCache>
                <c:ptCount val="3"/>
                <c:pt idx="0">
                  <c:v>PO数/零售占比</c:v>
                </c:pt>
                <c:pt idx="1">
                  <c:v>LPO数/零售占比</c:v>
                </c:pt>
                <c:pt idx="2">
                  <c:v>CPO数/零售占比</c:v>
                </c:pt>
              </c:strCache>
            </c:strRef>
          </c:cat>
          <c:val>
            <c:numRef>
              <c:f>财的部份!$AI$25:$AI$27</c:f>
              <c:numCache>
                <c:formatCode>0%</c:formatCode>
                <c:ptCount val="3"/>
                <c:pt idx="0">
                  <c:v>0.30769230769230771</c:v>
                </c:pt>
                <c:pt idx="1">
                  <c:v>0.15384615384615385</c:v>
                </c:pt>
                <c:pt idx="2">
                  <c:v>0.53846153846153844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LEXUS 简中黑 U" panose="020B0604050101010104" pitchFamily="34" charset="-122"/>
              <a:ea typeface="LEXUS 简中黑 U" panose="020B06040501010101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LEXUS 简中黑 U" panose="020B0604050101010104" pitchFamily="34" charset="-122"/>
                <a:ea typeface="LEXUS 简中黑 U" panose="020B0604050101010104" pitchFamily="34" charset="-122"/>
                <a:cs typeface="+mn-cs"/>
              </a:defRPr>
            </a:pPr>
            <a:r>
              <a:rPr lang="zh-TW" altLang="en-US" b="1">
                <a:latin typeface="LEXUS 简中黑 U" panose="020B0604050101010104" pitchFamily="34" charset="-122"/>
                <a:ea typeface="LEXUS 简中黑 U" panose="020B0604050101010104" pitchFamily="34" charset="-122"/>
              </a:rPr>
              <a:t>两年库存系数比较</a:t>
            </a:r>
            <a:endParaRPr lang="zh-CN" altLang="en-US" b="1">
              <a:latin typeface="LEXUS 简中黑 U" panose="020B0604050101010104" pitchFamily="34" charset="-122"/>
              <a:ea typeface="LEXUS 简中黑 U" panose="020B0604050101010104" pitchFamily="34" charset="-122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LEXUS 简中黑 U" panose="020B0604050101010104" pitchFamily="34" charset="-122"/>
              <a:ea typeface="LEXUS 简中黑 U" panose="020B06040501010101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财的部份!$AG$35</c:f>
              <c:strCache>
                <c:ptCount val="1"/>
                <c:pt idx="0">
                  <c:v>单车约当流转天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EXUS 简中黑 U" panose="020B0604050101010104" pitchFamily="34" charset="-122"/>
                    <a:ea typeface="LEXUS 简中黑 U" panose="020B0604050101010104" pitchFamily="34" charset="-122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财的部份!$AH$13:$AI$14</c:f>
              <c:strCache>
                <c:ptCount val="2"/>
                <c:pt idx="0">
                  <c:v>2018年表现</c:v>
                </c:pt>
                <c:pt idx="1">
                  <c:v>2019年表现</c:v>
                </c:pt>
              </c:strCache>
            </c:strRef>
          </c:cat>
          <c:val>
            <c:numRef>
              <c:f>财的部份!$AH$35:$AI$35</c:f>
              <c:numCache>
                <c:formatCode>0.0_ </c:formatCode>
                <c:ptCount val="2"/>
                <c:pt idx="0">
                  <c:v>21.666666666666668</c:v>
                </c:pt>
                <c:pt idx="1">
                  <c:v>11.351351351351353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3481328"/>
        <c:axId val="301602400"/>
      </c:barChart>
      <c:lineChart>
        <c:grouping val="standard"/>
        <c:varyColors val="0"/>
        <c:ser>
          <c:idx val="1"/>
          <c:order val="1"/>
          <c:tx>
            <c:strRef>
              <c:f>财的部份!$AG$34</c:f>
              <c:strCache>
                <c:ptCount val="1"/>
                <c:pt idx="0">
                  <c:v>库存周转系数</c:v>
                </c:pt>
              </c:strCache>
            </c:strRef>
          </c:tx>
          <c:spPr>
            <a:ln w="12700" cap="rnd">
              <a:solidFill>
                <a:srgbClr val="00B0F0"/>
              </a:solidFill>
              <a:prstDash val="dash"/>
              <a:round/>
              <a:headEnd type="oval"/>
              <a:tailEnd type="oval"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1732109142530139E-2"/>
                  <c:y val="-6.04234079119245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5.5427259795567972E-2"/>
                  <c:y val="-5.37096959217107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财的部份!$AH$34:$AI$34</c:f>
              <c:numCache>
                <c:formatCode>0.0_);[Red]\(0.0\)</c:formatCode>
                <c:ptCount val="2"/>
                <c:pt idx="0">
                  <c:v>0.72222222222222221</c:v>
                </c:pt>
                <c:pt idx="1">
                  <c:v>0.3783783783783784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6576544"/>
        <c:axId val="296569824"/>
      </c:lineChart>
      <c:catAx>
        <c:axId val="30348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EXUS 简中黑 U" panose="020B0604050101010104" pitchFamily="34" charset="-122"/>
                <a:ea typeface="LEXUS 简中黑 U" panose="020B0604050101010104" pitchFamily="34" charset="-122"/>
                <a:cs typeface="+mn-cs"/>
              </a:defRPr>
            </a:pPr>
            <a:endParaRPr lang="zh-CN"/>
          </a:p>
        </c:txPr>
        <c:crossAx val="301602400"/>
        <c:crosses val="autoZero"/>
        <c:auto val="1"/>
        <c:lblAlgn val="ctr"/>
        <c:lblOffset val="100"/>
        <c:noMultiLvlLbl val="0"/>
      </c:catAx>
      <c:valAx>
        <c:axId val="30160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3481328"/>
        <c:crosses val="autoZero"/>
        <c:crossBetween val="between"/>
      </c:valAx>
      <c:valAx>
        <c:axId val="296569824"/>
        <c:scaling>
          <c:orientation val="minMax"/>
        </c:scaling>
        <c:delete val="0"/>
        <c:axPos val="r"/>
        <c:numFmt formatCode="0.0_);[Red]\(0.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6576544"/>
        <c:crosses val="max"/>
        <c:crossBetween val="between"/>
      </c:valAx>
      <c:catAx>
        <c:axId val="296576544"/>
        <c:scaling>
          <c:orientation val="minMax"/>
        </c:scaling>
        <c:delete val="1"/>
        <c:axPos val="b"/>
        <c:majorTickMark val="out"/>
        <c:minorTickMark val="none"/>
        <c:tickLblPos val="nextTo"/>
        <c:crossAx val="29656982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LEXUS 简中黑 U" panose="020B0604050101010104" pitchFamily="34" charset="-122"/>
              <a:ea typeface="LEXUS 简中黑 U" panose="020B06040501010101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LEXUS 简中黑 U" panose="020B0604050101010104" pitchFamily="34" charset="-122"/>
                <a:ea typeface="LEXUS 简中黑 U" panose="020B0604050101010104" pitchFamily="34" charset="-122"/>
                <a:cs typeface="+mn-cs"/>
              </a:defRPr>
            </a:pPr>
            <a:r>
              <a:rPr lang="en-US" altLang="zh-CN" b="1">
                <a:latin typeface="LEXUS 简中黑 U" panose="020B0604050101010104" pitchFamily="34" charset="-122"/>
                <a:ea typeface="LEXUS 简中黑 U" panose="020B0604050101010104" pitchFamily="34" charset="-122"/>
              </a:rPr>
              <a:t>2019</a:t>
            </a:r>
            <a:r>
              <a:rPr lang="zh-TW" altLang="en-US" b="1">
                <a:latin typeface="LEXUS 简中黑 U" panose="020B0604050101010104" pitchFamily="34" charset="-122"/>
                <a:ea typeface="LEXUS 简中黑 U" panose="020B0604050101010104" pitchFamily="34" charset="-122"/>
              </a:rPr>
              <a:t>零售利润组合分析</a:t>
            </a:r>
            <a:endParaRPr lang="zh-CN" altLang="en-US" b="1">
              <a:latin typeface="LEXUS 简中黑 U" panose="020B0604050101010104" pitchFamily="34" charset="-122"/>
              <a:ea typeface="LEXUS 简中黑 U" panose="020B0604050101010104" pitchFamily="34" charset="-122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LEXUS 简中黑 U" panose="020B0604050101010104" pitchFamily="34" charset="-122"/>
              <a:ea typeface="LEXUS 简中黑 U" panose="020B06040501010101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472C4">
                  <a:lumMod val="40000"/>
                  <a:lumOff val="6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ysClr val="window" lastClr="FFFFFF">
                  <a:lumMod val="85000"/>
                </a:sys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24377896647917444"/>
                  <c:y val="5.07552483724350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8920158592413536"/>
                  <c:y val="5.80059981399257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35293372758925262"/>
                  <c:y val="-1.45014995349815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EXUS 简中黑 U" panose="020B0604050101010104" pitchFamily="34" charset="-122"/>
                    <a:ea typeface="LEXUS 简中黑 U" panose="020B06040501010101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财的部份!$AG$29:$AG$31</c:f>
              <c:strCache>
                <c:ptCount val="3"/>
                <c:pt idx="0">
                  <c:v>PO毛利贡献比</c:v>
                </c:pt>
                <c:pt idx="1">
                  <c:v>LPO毛利贡献比</c:v>
                </c:pt>
                <c:pt idx="2">
                  <c:v>CPO毛利贡献比</c:v>
                </c:pt>
              </c:strCache>
            </c:strRef>
          </c:cat>
          <c:val>
            <c:numRef>
              <c:f>财的部份!$AI$29:$AI$31</c:f>
              <c:numCache>
                <c:formatCode>0%</c:formatCode>
                <c:ptCount val="3"/>
                <c:pt idx="0">
                  <c:v>0.10550626552345627</c:v>
                </c:pt>
                <c:pt idx="1">
                  <c:v>0.16594490056276462</c:v>
                </c:pt>
                <c:pt idx="2">
                  <c:v>0.72854883391377911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LEXUS 简中黑 U" panose="020B0604050101010104" pitchFamily="34" charset="-122"/>
              <a:ea typeface="LEXUS 简中黑 U" panose="020B06040501010101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9.xml"/><Relationship Id="rId7" Type="http://schemas.openxmlformats.org/officeDocument/2006/relationships/chart" Target="../charts/chart12.xml"/><Relationship Id="rId12" Type="http://schemas.openxmlformats.org/officeDocument/2006/relationships/chart" Target="../charts/chart17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1.xml"/><Relationship Id="rId11" Type="http://schemas.openxmlformats.org/officeDocument/2006/relationships/chart" Target="../charts/chart16.xml"/><Relationship Id="rId5" Type="http://schemas.openxmlformats.org/officeDocument/2006/relationships/chart" Target="../charts/chart10.xml"/><Relationship Id="rId10" Type="http://schemas.openxmlformats.org/officeDocument/2006/relationships/chart" Target="../charts/chart15.xml"/><Relationship Id="rId4" Type="http://schemas.openxmlformats.org/officeDocument/2006/relationships/image" Target="../media/image1.png"/><Relationship Id="rId9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32</xdr:row>
      <xdr:rowOff>52387</xdr:rowOff>
    </xdr:from>
    <xdr:to>
      <xdr:col>16</xdr:col>
      <xdr:colOff>656167</xdr:colOff>
      <xdr:row>46</xdr:row>
      <xdr:rowOff>133350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47</xdr:row>
      <xdr:rowOff>3175</xdr:rowOff>
    </xdr:from>
    <xdr:to>
      <xdr:col>16</xdr:col>
      <xdr:colOff>656167</xdr:colOff>
      <xdr:row>61</xdr:row>
      <xdr:rowOff>82021</xdr:rowOff>
    </xdr:to>
    <xdr:graphicFrame macro="">
      <xdr:nvGraphicFramePr>
        <xdr:cNvPr id="9" name="图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61</xdr:row>
      <xdr:rowOff>117232</xdr:rowOff>
    </xdr:from>
    <xdr:to>
      <xdr:col>16</xdr:col>
      <xdr:colOff>656166</xdr:colOff>
      <xdr:row>76</xdr:row>
      <xdr:rowOff>26744</xdr:rowOff>
    </xdr:to>
    <xdr:graphicFrame macro="">
      <xdr:nvGraphicFramePr>
        <xdr:cNvPr id="13" name="图表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95250</xdr:colOff>
      <xdr:row>32</xdr:row>
      <xdr:rowOff>42333</xdr:rowOff>
    </xdr:from>
    <xdr:to>
      <xdr:col>31</xdr:col>
      <xdr:colOff>0</xdr:colOff>
      <xdr:row>46</xdr:row>
      <xdr:rowOff>123296</xdr:rowOff>
    </xdr:to>
    <xdr:graphicFrame macro="">
      <xdr:nvGraphicFramePr>
        <xdr:cNvPr id="16" name="图表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92226</xdr:colOff>
      <xdr:row>47</xdr:row>
      <xdr:rowOff>0</xdr:rowOff>
    </xdr:from>
    <xdr:to>
      <xdr:col>30</xdr:col>
      <xdr:colOff>718156</xdr:colOff>
      <xdr:row>61</xdr:row>
      <xdr:rowOff>78846</xdr:rowOff>
    </xdr:to>
    <xdr:graphicFrame macro="">
      <xdr:nvGraphicFramePr>
        <xdr:cNvPr id="17" name="图表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95250</xdr:colOff>
      <xdr:row>61</xdr:row>
      <xdr:rowOff>136072</xdr:rowOff>
    </xdr:from>
    <xdr:to>
      <xdr:col>30</xdr:col>
      <xdr:colOff>714551</xdr:colOff>
      <xdr:row>76</xdr:row>
      <xdr:rowOff>45584</xdr:rowOff>
    </xdr:to>
    <xdr:graphicFrame macro="">
      <xdr:nvGraphicFramePr>
        <xdr:cNvPr id="19" name="图表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1</xdr:colOff>
      <xdr:row>0</xdr:row>
      <xdr:rowOff>0</xdr:rowOff>
    </xdr:from>
    <xdr:to>
      <xdr:col>2</xdr:col>
      <xdr:colOff>1853346</xdr:colOff>
      <xdr:row>2</xdr:row>
      <xdr:rowOff>67488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81126" y="0"/>
          <a:ext cx="1853345" cy="5913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154780</xdr:colOff>
      <xdr:row>35</xdr:row>
      <xdr:rowOff>3571</xdr:rowOff>
    </xdr:from>
    <xdr:to>
      <xdr:col>49</xdr:col>
      <xdr:colOff>666749</xdr:colOff>
      <xdr:row>53</xdr:row>
      <xdr:rowOff>83343</xdr:rowOff>
    </xdr:to>
    <xdr:graphicFrame macro="">
      <xdr:nvGraphicFramePr>
        <xdr:cNvPr id="21" name="图表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117360</xdr:colOff>
      <xdr:row>37</xdr:row>
      <xdr:rowOff>59531</xdr:rowOff>
    </xdr:from>
    <xdr:to>
      <xdr:col>48</xdr:col>
      <xdr:colOff>678655</xdr:colOff>
      <xdr:row>52</xdr:row>
      <xdr:rowOff>-1</xdr:rowOff>
    </xdr:to>
    <xdr:graphicFrame macro="">
      <xdr:nvGraphicFramePr>
        <xdr:cNvPr id="22" name="图表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96950</xdr:colOff>
      <xdr:row>38</xdr:row>
      <xdr:rowOff>117360</xdr:rowOff>
    </xdr:from>
    <xdr:to>
      <xdr:col>48</xdr:col>
      <xdr:colOff>85045</xdr:colOff>
      <xdr:row>49</xdr:row>
      <xdr:rowOff>149506</xdr:rowOff>
    </xdr:to>
    <xdr:graphicFrame macro="">
      <xdr:nvGraphicFramePr>
        <xdr:cNvPr id="23" name="图表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11907</xdr:colOff>
      <xdr:row>0</xdr:row>
      <xdr:rowOff>0</xdr:rowOff>
    </xdr:from>
    <xdr:to>
      <xdr:col>2</xdr:col>
      <xdr:colOff>1865252</xdr:colOff>
      <xdr:row>2</xdr:row>
      <xdr:rowOff>67488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3032" y="0"/>
          <a:ext cx="1853345" cy="591363"/>
        </a:xfrm>
        <a:prstGeom prst="rect">
          <a:avLst/>
        </a:prstGeom>
      </xdr:spPr>
    </xdr:pic>
    <xdr:clientData/>
  </xdr:twoCellAnchor>
  <xdr:twoCellAnchor>
    <xdr:from>
      <xdr:col>36</xdr:col>
      <xdr:colOff>1321</xdr:colOff>
      <xdr:row>11</xdr:row>
      <xdr:rowOff>4893</xdr:rowOff>
    </xdr:from>
    <xdr:to>
      <xdr:col>41</xdr:col>
      <xdr:colOff>25133</xdr:colOff>
      <xdr:row>19</xdr:row>
      <xdr:rowOff>1321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41</xdr:col>
      <xdr:colOff>141551</xdr:colOff>
      <xdr:row>11</xdr:row>
      <xdr:rowOff>0</xdr:rowOff>
    </xdr:from>
    <xdr:to>
      <xdr:col>46</xdr:col>
      <xdr:colOff>165364</xdr:colOff>
      <xdr:row>19</xdr:row>
      <xdr:rowOff>4365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39</xdr:col>
      <xdr:colOff>583768</xdr:colOff>
      <xdr:row>17</xdr:row>
      <xdr:rowOff>255442</xdr:rowOff>
    </xdr:from>
    <xdr:to>
      <xdr:col>41</xdr:col>
      <xdr:colOff>258330</xdr:colOff>
      <xdr:row>18</xdr:row>
      <xdr:rowOff>152255</xdr:rowOff>
    </xdr:to>
    <xdr:sp macro="" textlink="">
      <xdr:nvSpPr>
        <xdr:cNvPr id="3" name="文本框 2"/>
        <xdr:cNvSpPr txBox="1"/>
      </xdr:nvSpPr>
      <xdr:spPr>
        <a:xfrm>
          <a:off x="23123382" y="3831647"/>
          <a:ext cx="1042698" cy="1565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800" b="1">
              <a:latin typeface="LEXUS 简中黑 U" panose="020B0604050101010104" pitchFamily="34" charset="-122"/>
              <a:ea typeface="LEXUS 简中黑 U" panose="020B0604050101010104" pitchFamily="34" charset="-122"/>
            </a:rPr>
            <a:t>（截至</a:t>
          </a:r>
          <a:r>
            <a:rPr lang="en-US" altLang="zh-TW" sz="800" b="1">
              <a:latin typeface="LEXUS 简中黑 U" panose="020B0604050101010104" pitchFamily="34" charset="-122"/>
              <a:ea typeface="LEXUS 简中黑 U" panose="020B0604050101010104" pitchFamily="34" charset="-122"/>
            </a:rPr>
            <a:t>10</a:t>
          </a:r>
          <a:r>
            <a:rPr lang="zh-TW" altLang="en-US" sz="800" b="1">
              <a:latin typeface="LEXUS 简中黑 U" panose="020B0604050101010104" pitchFamily="34" charset="-122"/>
              <a:ea typeface="LEXUS 简中黑 U" panose="020B0604050101010104" pitchFamily="34" charset="-122"/>
            </a:rPr>
            <a:t>月底）</a:t>
          </a:r>
          <a:endParaRPr lang="zh-CN" altLang="en-US" sz="800" b="1">
            <a:latin typeface="LEXUS 简中黑 U" panose="020B0604050101010104" pitchFamily="34" charset="-122"/>
            <a:ea typeface="LEXUS 简中黑 U" panose="020B0604050101010104" pitchFamily="34" charset="-122"/>
          </a:endParaRPr>
        </a:p>
      </xdr:txBody>
    </xdr:sp>
    <xdr:clientData/>
  </xdr:twoCellAnchor>
  <xdr:twoCellAnchor>
    <xdr:from>
      <xdr:col>45</xdr:col>
      <xdr:colOff>13854</xdr:colOff>
      <xdr:row>17</xdr:row>
      <xdr:rowOff>240433</xdr:rowOff>
    </xdr:from>
    <xdr:to>
      <xdr:col>46</xdr:col>
      <xdr:colOff>372484</xdr:colOff>
      <xdr:row>18</xdr:row>
      <xdr:rowOff>137246</xdr:rowOff>
    </xdr:to>
    <xdr:sp macro="" textlink="">
      <xdr:nvSpPr>
        <xdr:cNvPr id="8" name="文本框 7"/>
        <xdr:cNvSpPr txBox="1"/>
      </xdr:nvSpPr>
      <xdr:spPr>
        <a:xfrm>
          <a:off x="26657877" y="3816638"/>
          <a:ext cx="1042698" cy="1565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800" b="1">
              <a:latin typeface="LEXUS 简中黑 U" panose="020B0604050101010104" pitchFamily="34" charset="-122"/>
              <a:ea typeface="LEXUS 简中黑 U" panose="020B0604050101010104" pitchFamily="34" charset="-122"/>
            </a:rPr>
            <a:t>（截至</a:t>
          </a:r>
          <a:r>
            <a:rPr lang="en-US" altLang="zh-TW" sz="800" b="1">
              <a:latin typeface="LEXUS 简中黑 U" panose="020B0604050101010104" pitchFamily="34" charset="-122"/>
              <a:ea typeface="LEXUS 简中黑 U" panose="020B0604050101010104" pitchFamily="34" charset="-122"/>
            </a:rPr>
            <a:t>10</a:t>
          </a:r>
          <a:r>
            <a:rPr lang="zh-TW" altLang="en-US" sz="800" b="1">
              <a:latin typeface="LEXUS 简中黑 U" panose="020B0604050101010104" pitchFamily="34" charset="-122"/>
              <a:ea typeface="LEXUS 简中黑 U" panose="020B0604050101010104" pitchFamily="34" charset="-122"/>
            </a:rPr>
            <a:t>月底）</a:t>
          </a:r>
          <a:endParaRPr lang="zh-CN" altLang="en-US" sz="800" b="1">
            <a:latin typeface="LEXUS 简中黑 U" panose="020B0604050101010104" pitchFamily="34" charset="-122"/>
            <a:ea typeface="LEXUS 简中黑 U" panose="020B0604050101010104" pitchFamily="34" charset="-122"/>
          </a:endParaRPr>
        </a:p>
      </xdr:txBody>
    </xdr:sp>
    <xdr:clientData/>
  </xdr:twoCellAnchor>
  <xdr:twoCellAnchor>
    <xdr:from>
      <xdr:col>36</xdr:col>
      <xdr:colOff>0</xdr:colOff>
      <xdr:row>19</xdr:row>
      <xdr:rowOff>84667</xdr:rowOff>
    </xdr:from>
    <xdr:to>
      <xdr:col>41</xdr:col>
      <xdr:colOff>23812</xdr:colOff>
      <xdr:row>26</xdr:row>
      <xdr:rowOff>155178</xdr:rowOff>
    </xdr:to>
    <xdr:graphicFrame macro="">
      <xdr:nvGraphicFramePr>
        <xdr:cNvPr id="9" name="图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41</xdr:col>
      <xdr:colOff>126998</xdr:colOff>
      <xdr:row>19</xdr:row>
      <xdr:rowOff>74083</xdr:rowOff>
    </xdr:from>
    <xdr:to>
      <xdr:col>46</xdr:col>
      <xdr:colOff>169334</xdr:colOff>
      <xdr:row>26</xdr:row>
      <xdr:rowOff>158750</xdr:rowOff>
    </xdr:to>
    <xdr:graphicFrame macro="">
      <xdr:nvGraphicFramePr>
        <xdr:cNvPr id="11" name="图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35</xdr:col>
      <xdr:colOff>679979</xdr:colOff>
      <xdr:row>26</xdr:row>
      <xdr:rowOff>256910</xdr:rowOff>
    </xdr:from>
    <xdr:to>
      <xdr:col>41</xdr:col>
      <xdr:colOff>25977</xdr:colOff>
      <xdr:row>33</xdr:row>
      <xdr:rowOff>238125</xdr:rowOff>
    </xdr:to>
    <xdr:graphicFrame macro="">
      <xdr:nvGraphicFramePr>
        <xdr:cNvPr id="12" name="图表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41</xdr:col>
      <xdr:colOff>130967</xdr:colOff>
      <xdr:row>27</xdr:row>
      <xdr:rowOff>1</xdr:rowOff>
    </xdr:from>
    <xdr:to>
      <xdr:col>46</xdr:col>
      <xdr:colOff>181841</xdr:colOff>
      <xdr:row>33</xdr:row>
      <xdr:rowOff>233796</xdr:rowOff>
    </xdr:to>
    <xdr:graphicFrame macro="">
      <xdr:nvGraphicFramePr>
        <xdr:cNvPr id="13" name="图表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35</xdr:col>
      <xdr:colOff>662781</xdr:colOff>
      <xdr:row>34</xdr:row>
      <xdr:rowOff>84787</xdr:rowOff>
    </xdr:from>
    <xdr:to>
      <xdr:col>41</xdr:col>
      <xdr:colOff>23812</xdr:colOff>
      <xdr:row>42</xdr:row>
      <xdr:rowOff>158749</xdr:rowOff>
    </xdr:to>
    <xdr:graphicFrame macro="">
      <xdr:nvGraphicFramePr>
        <xdr:cNvPr id="14" name="图表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39</xdr:col>
      <xdr:colOff>588964</xdr:colOff>
      <xdr:row>25</xdr:row>
      <xdr:rowOff>148070</xdr:rowOff>
    </xdr:from>
    <xdr:to>
      <xdr:col>41</xdr:col>
      <xdr:colOff>263526</xdr:colOff>
      <xdr:row>26</xdr:row>
      <xdr:rowOff>44882</xdr:rowOff>
    </xdr:to>
    <xdr:sp macro="" textlink="">
      <xdr:nvSpPr>
        <xdr:cNvPr id="15" name="文本框 14"/>
        <xdr:cNvSpPr txBox="1"/>
      </xdr:nvSpPr>
      <xdr:spPr>
        <a:xfrm>
          <a:off x="23128578" y="5802456"/>
          <a:ext cx="1042698" cy="1565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800" b="1">
              <a:latin typeface="LEXUS 简中黑 U" panose="020B0604050101010104" pitchFamily="34" charset="-122"/>
              <a:ea typeface="LEXUS 简中黑 U" panose="020B0604050101010104" pitchFamily="34" charset="-122"/>
            </a:rPr>
            <a:t>（截至</a:t>
          </a:r>
          <a:r>
            <a:rPr lang="en-US" altLang="zh-TW" sz="800" b="1">
              <a:latin typeface="LEXUS 简中黑 U" panose="020B0604050101010104" pitchFamily="34" charset="-122"/>
              <a:ea typeface="LEXUS 简中黑 U" panose="020B0604050101010104" pitchFamily="34" charset="-122"/>
            </a:rPr>
            <a:t>10</a:t>
          </a:r>
          <a:r>
            <a:rPr lang="zh-TW" altLang="en-US" sz="800" b="1">
              <a:latin typeface="LEXUS 简中黑 U" panose="020B0604050101010104" pitchFamily="34" charset="-122"/>
              <a:ea typeface="LEXUS 简中黑 U" panose="020B0604050101010104" pitchFamily="34" charset="-122"/>
            </a:rPr>
            <a:t>月底）</a:t>
          </a:r>
          <a:endParaRPr lang="zh-CN" altLang="en-US" sz="800" b="1">
            <a:latin typeface="LEXUS 简中黑 U" panose="020B0604050101010104" pitchFamily="34" charset="-122"/>
            <a:ea typeface="LEXUS 简中黑 U" panose="020B0604050101010104" pitchFamily="34" charset="-122"/>
          </a:endParaRPr>
        </a:p>
      </xdr:txBody>
    </xdr:sp>
    <xdr:clientData/>
  </xdr:twoCellAnchor>
  <xdr:twoCellAnchor>
    <xdr:from>
      <xdr:col>45</xdr:col>
      <xdr:colOff>53686</xdr:colOff>
      <xdr:row>25</xdr:row>
      <xdr:rowOff>141721</xdr:rowOff>
    </xdr:from>
    <xdr:to>
      <xdr:col>46</xdr:col>
      <xdr:colOff>412316</xdr:colOff>
      <xdr:row>26</xdr:row>
      <xdr:rowOff>38533</xdr:rowOff>
    </xdr:to>
    <xdr:sp macro="" textlink="">
      <xdr:nvSpPr>
        <xdr:cNvPr id="16" name="文本框 15"/>
        <xdr:cNvSpPr txBox="1"/>
      </xdr:nvSpPr>
      <xdr:spPr>
        <a:xfrm>
          <a:off x="26697709" y="5796107"/>
          <a:ext cx="1042698" cy="1565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800" b="1">
              <a:latin typeface="LEXUS 简中黑 U" panose="020B0604050101010104" pitchFamily="34" charset="-122"/>
              <a:ea typeface="LEXUS 简中黑 U" panose="020B0604050101010104" pitchFamily="34" charset="-122"/>
            </a:rPr>
            <a:t>（截至</a:t>
          </a:r>
          <a:r>
            <a:rPr lang="en-US" altLang="zh-TW" sz="800" b="1">
              <a:latin typeface="LEXUS 简中黑 U" panose="020B0604050101010104" pitchFamily="34" charset="-122"/>
              <a:ea typeface="LEXUS 简中黑 U" panose="020B0604050101010104" pitchFamily="34" charset="-122"/>
            </a:rPr>
            <a:t>10</a:t>
          </a:r>
          <a:r>
            <a:rPr lang="zh-TW" altLang="en-US" sz="800" b="1">
              <a:latin typeface="LEXUS 简中黑 U" panose="020B0604050101010104" pitchFamily="34" charset="-122"/>
              <a:ea typeface="LEXUS 简中黑 U" panose="020B0604050101010104" pitchFamily="34" charset="-122"/>
            </a:rPr>
            <a:t>月底）</a:t>
          </a:r>
          <a:endParaRPr lang="zh-CN" altLang="en-US" sz="800" b="1">
            <a:latin typeface="LEXUS 简中黑 U" panose="020B0604050101010104" pitchFamily="34" charset="-122"/>
            <a:ea typeface="LEXUS 简中黑 U" panose="020B0604050101010104" pitchFamily="34" charset="-122"/>
          </a:endParaRPr>
        </a:p>
      </xdr:txBody>
    </xdr:sp>
    <xdr:clientData/>
  </xdr:twoCellAnchor>
  <xdr:twoCellAnchor>
    <xdr:from>
      <xdr:col>39</xdr:col>
      <xdr:colOff>601952</xdr:colOff>
      <xdr:row>40</xdr:row>
      <xdr:rowOff>146987</xdr:rowOff>
    </xdr:from>
    <xdr:to>
      <xdr:col>41</xdr:col>
      <xdr:colOff>276514</xdr:colOff>
      <xdr:row>41</xdr:row>
      <xdr:rowOff>139050</xdr:rowOff>
    </xdr:to>
    <xdr:sp macro="" textlink="">
      <xdr:nvSpPr>
        <xdr:cNvPr id="17" name="文本框 16"/>
        <xdr:cNvSpPr txBox="1"/>
      </xdr:nvSpPr>
      <xdr:spPr>
        <a:xfrm>
          <a:off x="23200015" y="9648175"/>
          <a:ext cx="1055687" cy="1706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800" b="1">
              <a:latin typeface="LEXUS 简中黑 U" panose="020B0604050101010104" pitchFamily="34" charset="-122"/>
              <a:ea typeface="LEXUS 简中黑 U" panose="020B0604050101010104" pitchFamily="34" charset="-122"/>
            </a:rPr>
            <a:t>（截至</a:t>
          </a:r>
          <a:r>
            <a:rPr lang="en-US" altLang="zh-TW" sz="800" b="1">
              <a:latin typeface="LEXUS 简中黑 U" panose="020B0604050101010104" pitchFamily="34" charset="-122"/>
              <a:ea typeface="LEXUS 简中黑 U" panose="020B0604050101010104" pitchFamily="34" charset="-122"/>
            </a:rPr>
            <a:t>10</a:t>
          </a:r>
          <a:r>
            <a:rPr lang="zh-TW" altLang="en-US" sz="800" b="1">
              <a:latin typeface="LEXUS 简中黑 U" panose="020B0604050101010104" pitchFamily="34" charset="-122"/>
              <a:ea typeface="LEXUS 简中黑 U" panose="020B0604050101010104" pitchFamily="34" charset="-122"/>
            </a:rPr>
            <a:t>月底）</a:t>
          </a:r>
          <a:endParaRPr lang="zh-CN" altLang="en-US" sz="800" b="1">
            <a:latin typeface="LEXUS 简中黑 U" panose="020B0604050101010104" pitchFamily="34" charset="-122"/>
            <a:ea typeface="LEXUS 简中黑 U" panose="020B0604050101010104" pitchFamily="34" charset="-122"/>
          </a:endParaRPr>
        </a:p>
      </xdr:txBody>
    </xdr:sp>
    <xdr:clientData/>
  </xdr:twoCellAnchor>
  <xdr:twoCellAnchor>
    <xdr:from>
      <xdr:col>46</xdr:col>
      <xdr:colOff>231322</xdr:colOff>
      <xdr:row>27</xdr:row>
      <xdr:rowOff>5291</xdr:rowOff>
    </xdr:from>
    <xdr:to>
      <xdr:col>51</xdr:col>
      <xdr:colOff>282195</xdr:colOff>
      <xdr:row>33</xdr:row>
      <xdr:rowOff>232834</xdr:rowOff>
    </xdr:to>
    <xdr:graphicFrame macro="">
      <xdr:nvGraphicFramePr>
        <xdr:cNvPr id="18" name="图表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43</xdr:col>
      <xdr:colOff>607245</xdr:colOff>
      <xdr:row>28</xdr:row>
      <xdr:rowOff>76873</xdr:rowOff>
    </xdr:from>
    <xdr:to>
      <xdr:col>45</xdr:col>
      <xdr:colOff>281806</xdr:colOff>
      <xdr:row>28</xdr:row>
      <xdr:rowOff>227685</xdr:rowOff>
    </xdr:to>
    <xdr:sp macro="" textlink="">
      <xdr:nvSpPr>
        <xdr:cNvPr id="19" name="文本框 18"/>
        <xdr:cNvSpPr txBox="1"/>
      </xdr:nvSpPr>
      <xdr:spPr>
        <a:xfrm>
          <a:off x="25890828" y="6405706"/>
          <a:ext cx="1050395" cy="1508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800" b="1">
              <a:latin typeface="LEXUS 简中黑 U" panose="020B0604050101010104" pitchFamily="34" charset="-122"/>
              <a:ea typeface="LEXUS 简中黑 U" panose="020B0604050101010104" pitchFamily="34" charset="-122"/>
            </a:rPr>
            <a:t>（截至</a:t>
          </a:r>
          <a:r>
            <a:rPr lang="en-US" altLang="zh-TW" sz="800" b="1">
              <a:latin typeface="LEXUS 简中黑 U" panose="020B0604050101010104" pitchFamily="34" charset="-122"/>
              <a:ea typeface="LEXUS 简中黑 U" panose="020B0604050101010104" pitchFamily="34" charset="-122"/>
            </a:rPr>
            <a:t>10</a:t>
          </a:r>
          <a:r>
            <a:rPr lang="zh-TW" altLang="en-US" sz="800" b="1">
              <a:latin typeface="LEXUS 简中黑 U" panose="020B0604050101010104" pitchFamily="34" charset="-122"/>
              <a:ea typeface="LEXUS 简中黑 U" panose="020B0604050101010104" pitchFamily="34" charset="-122"/>
            </a:rPr>
            <a:t>月底）</a:t>
          </a:r>
          <a:endParaRPr lang="zh-CN" altLang="en-US" sz="800" b="1">
            <a:latin typeface="LEXUS 简中黑 U" panose="020B0604050101010104" pitchFamily="34" charset="-122"/>
            <a:ea typeface="LEXUS 简中黑 U" panose="020B0604050101010104" pitchFamily="34" charset="-122"/>
          </a:endParaRPr>
        </a:p>
      </xdr:txBody>
    </xdr:sp>
    <xdr:clientData/>
  </xdr:twoCellAnchor>
  <xdr:twoCellAnchor>
    <xdr:from>
      <xdr:col>49</xdr:col>
      <xdr:colOff>39978</xdr:colOff>
      <xdr:row>28</xdr:row>
      <xdr:rowOff>91689</xdr:rowOff>
    </xdr:from>
    <xdr:to>
      <xdr:col>50</xdr:col>
      <xdr:colOff>402456</xdr:colOff>
      <xdr:row>28</xdr:row>
      <xdr:rowOff>242501</xdr:rowOff>
    </xdr:to>
    <xdr:sp macro="" textlink="">
      <xdr:nvSpPr>
        <xdr:cNvPr id="20" name="文本框 19"/>
        <xdr:cNvSpPr txBox="1"/>
      </xdr:nvSpPr>
      <xdr:spPr>
        <a:xfrm>
          <a:off x="29451061" y="6420522"/>
          <a:ext cx="1050395" cy="1508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800" b="1">
              <a:latin typeface="LEXUS 简中黑 U" panose="020B0604050101010104" pitchFamily="34" charset="-122"/>
              <a:ea typeface="LEXUS 简中黑 U" panose="020B0604050101010104" pitchFamily="34" charset="-122"/>
            </a:rPr>
            <a:t>（截至</a:t>
          </a:r>
          <a:r>
            <a:rPr lang="en-US" altLang="zh-TW" sz="800" b="1">
              <a:latin typeface="LEXUS 简中黑 U" panose="020B0604050101010104" pitchFamily="34" charset="-122"/>
              <a:ea typeface="LEXUS 简中黑 U" panose="020B0604050101010104" pitchFamily="34" charset="-122"/>
            </a:rPr>
            <a:t>10</a:t>
          </a:r>
          <a:r>
            <a:rPr lang="zh-TW" altLang="en-US" sz="800" b="1">
              <a:latin typeface="LEXUS 简中黑 U" panose="020B0604050101010104" pitchFamily="34" charset="-122"/>
              <a:ea typeface="LEXUS 简中黑 U" panose="020B0604050101010104" pitchFamily="34" charset="-122"/>
            </a:rPr>
            <a:t>月底）</a:t>
          </a:r>
          <a:endParaRPr lang="zh-CN" altLang="en-US" sz="800" b="1">
            <a:latin typeface="LEXUS 简中黑 U" panose="020B0604050101010104" pitchFamily="34" charset="-122"/>
            <a:ea typeface="LEXUS 简中黑 U" panose="020B0604050101010104" pitchFamily="3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2"/>
  <sheetViews>
    <sheetView tabSelected="1" zoomScale="90" zoomScaleNormal="90" workbookViewId="0">
      <pane xSplit="5" ySplit="4" topLeftCell="P12" activePane="bottomRight" state="frozen"/>
      <selection pane="topRight" activeCell="F1" sqref="F1"/>
      <selection pane="bottomLeft" activeCell="A5" sqref="A5"/>
      <selection pane="bottomRight" activeCell="AE16" sqref="AE16"/>
    </sheetView>
  </sheetViews>
  <sheetFormatPr defaultRowHeight="13.5" x14ac:dyDescent="0.15"/>
  <cols>
    <col min="1" max="1" width="11.625" customWidth="1"/>
    <col min="3" max="3" width="24.5" customWidth="1"/>
    <col min="4" max="4" width="1" customWidth="1"/>
    <col min="20" max="20" width="9" customWidth="1"/>
    <col min="21" max="21" width="9.375" customWidth="1"/>
    <col min="28" max="29" width="9" customWidth="1"/>
    <col min="30" max="30" width="0.375" customWidth="1"/>
    <col min="31" max="31" width="9.5" customWidth="1"/>
  </cols>
  <sheetData>
    <row r="1" spans="2:31" ht="13.5" customHeight="1" x14ac:dyDescent="0.15">
      <c r="B1" s="147" t="s">
        <v>26</v>
      </c>
      <c r="C1" s="172" t="s">
        <v>68</v>
      </c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5"/>
      <c r="AE1" s="175"/>
    </row>
    <row r="2" spans="2:31" ht="27.75" customHeight="1" x14ac:dyDescent="0.15">
      <c r="B2" s="148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3"/>
      <c r="Q2" s="174"/>
      <c r="R2" s="173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5"/>
      <c r="AE2" s="175"/>
    </row>
    <row r="3" spans="2:31" ht="21.75" customHeight="1" x14ac:dyDescent="0.15">
      <c r="B3" s="124" t="s">
        <v>64</v>
      </c>
      <c r="C3" s="14"/>
      <c r="D3" s="145" t="s">
        <v>75</v>
      </c>
      <c r="E3" s="146"/>
      <c r="F3" s="146"/>
      <c r="G3" s="15"/>
      <c r="H3" s="16" t="s">
        <v>25</v>
      </c>
      <c r="I3" s="130" t="s">
        <v>74</v>
      </c>
      <c r="J3" s="159" t="s">
        <v>24</v>
      </c>
      <c r="K3" s="159"/>
      <c r="L3" s="159" t="s">
        <v>72</v>
      </c>
      <c r="M3" s="160"/>
      <c r="N3" s="184"/>
      <c r="O3" s="185"/>
      <c r="P3" s="185"/>
      <c r="Q3" s="185"/>
      <c r="R3" s="18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E3" s="175"/>
    </row>
    <row r="4" spans="2:31" ht="21.75" customHeight="1" x14ac:dyDescent="0.25">
      <c r="B4" s="13" t="s">
        <v>23</v>
      </c>
      <c r="C4" s="14"/>
      <c r="D4" s="145" t="s">
        <v>76</v>
      </c>
      <c r="E4" s="146"/>
      <c r="F4" s="146"/>
      <c r="G4" s="15"/>
      <c r="H4" s="16" t="s">
        <v>22</v>
      </c>
      <c r="I4" s="130" t="s">
        <v>73</v>
      </c>
      <c r="J4" s="161"/>
      <c r="K4" s="162"/>
      <c r="L4" s="163"/>
      <c r="M4" s="162"/>
      <c r="N4" s="186"/>
      <c r="O4" s="186"/>
      <c r="P4" s="186"/>
      <c r="Q4" s="186"/>
      <c r="R4" s="186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</row>
    <row r="5" spans="2:31" ht="5.25" customHeight="1" x14ac:dyDescent="0.25">
      <c r="B5" s="10"/>
      <c r="C5" s="10"/>
      <c r="D5" s="10"/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2:31" ht="15.75" x14ac:dyDescent="0.25">
      <c r="B6" s="12" t="s">
        <v>40</v>
      </c>
      <c r="C6" s="10"/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2:31" ht="15.75" x14ac:dyDescent="0.25">
      <c r="B7" s="12" t="s">
        <v>21</v>
      </c>
      <c r="C7" s="10"/>
      <c r="D7" s="10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2:31" ht="15.75" x14ac:dyDescent="0.25">
      <c r="B8" s="12" t="s">
        <v>41</v>
      </c>
      <c r="C8" s="10"/>
      <c r="D8" s="10"/>
      <c r="E8" s="1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2:31" ht="15.75" x14ac:dyDescent="0.25">
      <c r="B9" s="12" t="s">
        <v>42</v>
      </c>
      <c r="C9" s="10"/>
      <c r="D9" s="10"/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2:31" ht="4.5" customHeight="1" thickBot="1" x14ac:dyDescent="0.3">
      <c r="B10" s="1"/>
      <c r="C10" s="1"/>
      <c r="D10" s="9"/>
      <c r="E10" s="9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2:31" ht="18.75" x14ac:dyDescent="0.15">
      <c r="B11" s="164" t="s">
        <v>20</v>
      </c>
      <c r="C11" s="165"/>
      <c r="D11" s="165"/>
      <c r="E11" s="166"/>
      <c r="F11" s="176" t="s">
        <v>39</v>
      </c>
      <c r="G11" s="177"/>
      <c r="H11" s="177"/>
      <c r="I11" s="177"/>
      <c r="J11" s="177"/>
      <c r="K11" s="177"/>
      <c r="L11" s="178"/>
      <c r="M11" s="178"/>
      <c r="N11" s="178"/>
      <c r="O11" s="178"/>
      <c r="P11" s="178"/>
      <c r="Q11" s="178"/>
      <c r="R11" s="181" t="s">
        <v>67</v>
      </c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  <c r="AE11" s="183"/>
    </row>
    <row r="12" spans="2:31" ht="13.5" customHeight="1" x14ac:dyDescent="0.15">
      <c r="B12" s="149" t="s">
        <v>19</v>
      </c>
      <c r="C12" s="151" t="s">
        <v>18</v>
      </c>
      <c r="D12" s="153" t="s">
        <v>71</v>
      </c>
      <c r="E12" s="154"/>
      <c r="F12" s="157" t="s">
        <v>33</v>
      </c>
      <c r="G12" s="157" t="s">
        <v>34</v>
      </c>
      <c r="H12" s="157" t="s">
        <v>35</v>
      </c>
      <c r="I12" s="157" t="s">
        <v>36</v>
      </c>
      <c r="J12" s="157" t="s">
        <v>37</v>
      </c>
      <c r="K12" s="157" t="s">
        <v>38</v>
      </c>
      <c r="L12" s="157" t="s">
        <v>27</v>
      </c>
      <c r="M12" s="157" t="s">
        <v>28</v>
      </c>
      <c r="N12" s="157" t="s">
        <v>29</v>
      </c>
      <c r="O12" s="157" t="s">
        <v>30</v>
      </c>
      <c r="P12" s="157" t="s">
        <v>31</v>
      </c>
      <c r="Q12" s="157" t="s">
        <v>32</v>
      </c>
      <c r="R12" s="169" t="s">
        <v>33</v>
      </c>
      <c r="S12" s="170" t="s">
        <v>34</v>
      </c>
      <c r="T12" s="170" t="s">
        <v>35</v>
      </c>
      <c r="U12" s="170" t="s">
        <v>36</v>
      </c>
      <c r="V12" s="170" t="s">
        <v>37</v>
      </c>
      <c r="W12" s="170" t="s">
        <v>38</v>
      </c>
      <c r="X12" s="170" t="s">
        <v>27</v>
      </c>
      <c r="Y12" s="170" t="s">
        <v>28</v>
      </c>
      <c r="Z12" s="179" t="s">
        <v>29</v>
      </c>
      <c r="AA12" s="179" t="s">
        <v>30</v>
      </c>
      <c r="AB12" s="179" t="s">
        <v>31</v>
      </c>
      <c r="AC12" s="179" t="s">
        <v>32</v>
      </c>
      <c r="AD12" s="83"/>
      <c r="AE12" s="167" t="s">
        <v>77</v>
      </c>
    </row>
    <row r="13" spans="2:31" x14ac:dyDescent="0.15">
      <c r="B13" s="150"/>
      <c r="C13" s="152"/>
      <c r="D13" s="155"/>
      <c r="E13" s="156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71"/>
      <c r="T13" s="171"/>
      <c r="U13" s="171"/>
      <c r="V13" s="171"/>
      <c r="W13" s="171"/>
      <c r="X13" s="171"/>
      <c r="Y13" s="171"/>
      <c r="Z13" s="180"/>
      <c r="AA13" s="180"/>
      <c r="AB13" s="180"/>
      <c r="AC13" s="180"/>
      <c r="AD13" s="62"/>
      <c r="AE13" s="168"/>
    </row>
    <row r="14" spans="2:31" ht="20.25" customHeight="1" x14ac:dyDescent="0.25">
      <c r="B14" s="138" t="s">
        <v>17</v>
      </c>
      <c r="C14" s="33" t="s">
        <v>85</v>
      </c>
      <c r="D14" s="7">
        <v>0.1</v>
      </c>
      <c r="E14" s="56">
        <f t="shared" ref="E14:E26" si="0">SUM(F14:Q14)</f>
        <v>10928</v>
      </c>
      <c r="F14" s="17">
        <v>668</v>
      </c>
      <c r="G14" s="5">
        <v>510</v>
      </c>
      <c r="H14" s="5">
        <v>949</v>
      </c>
      <c r="I14" s="5">
        <v>779</v>
      </c>
      <c r="J14" s="5">
        <v>832</v>
      </c>
      <c r="K14" s="5">
        <v>940</v>
      </c>
      <c r="L14" s="17">
        <v>1055</v>
      </c>
      <c r="M14" s="5">
        <v>1157</v>
      </c>
      <c r="N14" s="5">
        <v>1041</v>
      </c>
      <c r="O14" s="5">
        <v>1134</v>
      </c>
      <c r="P14" s="5">
        <v>1050</v>
      </c>
      <c r="Q14" s="21">
        <v>813</v>
      </c>
      <c r="R14" s="20">
        <v>924</v>
      </c>
      <c r="S14" s="5">
        <v>916</v>
      </c>
      <c r="T14" s="5">
        <v>1350</v>
      </c>
      <c r="U14" s="5">
        <v>1181</v>
      </c>
      <c r="V14" s="5">
        <v>1267</v>
      </c>
      <c r="W14" s="5">
        <v>1330</v>
      </c>
      <c r="X14" s="5">
        <v>1169</v>
      </c>
      <c r="Y14" s="5">
        <v>1230</v>
      </c>
      <c r="Z14" s="30">
        <v>1003</v>
      </c>
      <c r="AA14" s="5">
        <v>1060</v>
      </c>
      <c r="AB14" s="5"/>
      <c r="AC14" s="30"/>
      <c r="AD14" s="63">
        <v>0.1</v>
      </c>
      <c r="AE14" s="28">
        <f t="shared" ref="AE14:AE26" si="1">SUM(R14:AC14)</f>
        <v>11430</v>
      </c>
    </row>
    <row r="15" spans="2:31" ht="20.25" customHeight="1" x14ac:dyDescent="0.25">
      <c r="B15" s="139"/>
      <c r="C15" s="33" t="s">
        <v>16</v>
      </c>
      <c r="D15" s="7">
        <f>IFERROR((E14-E15)/2,"")</f>
        <v>4174.5</v>
      </c>
      <c r="E15" s="56">
        <f t="shared" si="0"/>
        <v>2579</v>
      </c>
      <c r="F15" s="17">
        <v>264</v>
      </c>
      <c r="G15" s="5">
        <v>163</v>
      </c>
      <c r="H15" s="5">
        <v>240</v>
      </c>
      <c r="I15" s="5">
        <v>216</v>
      </c>
      <c r="J15" s="5">
        <v>233</v>
      </c>
      <c r="K15" s="5">
        <v>224</v>
      </c>
      <c r="L15" s="17">
        <v>263</v>
      </c>
      <c r="M15" s="5">
        <v>215</v>
      </c>
      <c r="N15" s="5">
        <v>268</v>
      </c>
      <c r="O15" s="5">
        <v>262</v>
      </c>
      <c r="P15" s="5">
        <v>118</v>
      </c>
      <c r="Q15" s="21">
        <v>113</v>
      </c>
      <c r="R15" s="20">
        <v>69</v>
      </c>
      <c r="S15" s="5">
        <v>66</v>
      </c>
      <c r="T15" s="20">
        <v>146</v>
      </c>
      <c r="U15" s="5">
        <v>99</v>
      </c>
      <c r="V15" s="5">
        <v>119</v>
      </c>
      <c r="W15" s="5">
        <v>123</v>
      </c>
      <c r="X15" s="5">
        <v>117</v>
      </c>
      <c r="Y15" s="5">
        <v>110</v>
      </c>
      <c r="Z15" s="30">
        <v>90</v>
      </c>
      <c r="AA15" s="5">
        <v>91</v>
      </c>
      <c r="AB15" s="5"/>
      <c r="AC15" s="30"/>
      <c r="AD15" s="63">
        <f>IFERROR((AE14-AE15)/2,"")</f>
        <v>5200</v>
      </c>
      <c r="AE15" s="28">
        <f t="shared" si="1"/>
        <v>1030</v>
      </c>
    </row>
    <row r="16" spans="2:31" ht="20.25" customHeight="1" x14ac:dyDescent="0.25">
      <c r="B16" s="139"/>
      <c r="C16" s="33" t="s">
        <v>9</v>
      </c>
      <c r="D16" s="7"/>
      <c r="E16" s="56">
        <f t="shared" si="0"/>
        <v>204</v>
      </c>
      <c r="F16" s="17">
        <v>20</v>
      </c>
      <c r="G16" s="5">
        <v>19</v>
      </c>
      <c r="H16" s="5">
        <v>27</v>
      </c>
      <c r="I16" s="5">
        <v>22</v>
      </c>
      <c r="J16" s="5">
        <v>16</v>
      </c>
      <c r="K16" s="5">
        <v>17</v>
      </c>
      <c r="L16" s="17">
        <v>11</v>
      </c>
      <c r="M16" s="5">
        <v>12</v>
      </c>
      <c r="N16" s="5">
        <v>17</v>
      </c>
      <c r="O16" s="5">
        <v>19</v>
      </c>
      <c r="P16" s="5">
        <v>13</v>
      </c>
      <c r="Q16" s="21">
        <v>11</v>
      </c>
      <c r="R16" s="20">
        <v>6</v>
      </c>
      <c r="S16" s="5">
        <v>13</v>
      </c>
      <c r="T16" s="20">
        <v>11</v>
      </c>
      <c r="U16" s="5">
        <v>6</v>
      </c>
      <c r="V16" s="5">
        <v>16</v>
      </c>
      <c r="W16" s="5">
        <v>8</v>
      </c>
      <c r="X16" s="5">
        <v>9</v>
      </c>
      <c r="Y16" s="5">
        <v>8</v>
      </c>
      <c r="Z16" s="30">
        <v>10</v>
      </c>
      <c r="AA16" s="5">
        <v>10</v>
      </c>
      <c r="AB16" s="5"/>
      <c r="AC16" s="30"/>
      <c r="AD16" s="63"/>
      <c r="AE16" s="28">
        <f t="shared" si="1"/>
        <v>97</v>
      </c>
    </row>
    <row r="17" spans="1:31" ht="20.25" customHeight="1" x14ac:dyDescent="0.25">
      <c r="B17" s="139"/>
      <c r="C17" s="33" t="s">
        <v>15</v>
      </c>
      <c r="D17" s="7"/>
      <c r="E17" s="56">
        <f t="shared" si="0"/>
        <v>2375</v>
      </c>
      <c r="F17" s="18">
        <f t="shared" ref="F17:AC17" si="2">F15-F16</f>
        <v>244</v>
      </c>
      <c r="G17" s="8">
        <f t="shared" si="2"/>
        <v>144</v>
      </c>
      <c r="H17" s="8">
        <f t="shared" si="2"/>
        <v>213</v>
      </c>
      <c r="I17" s="8">
        <f t="shared" si="2"/>
        <v>194</v>
      </c>
      <c r="J17" s="8">
        <f t="shared" si="2"/>
        <v>217</v>
      </c>
      <c r="K17" s="8">
        <f t="shared" si="2"/>
        <v>207</v>
      </c>
      <c r="L17" s="18">
        <f t="shared" si="2"/>
        <v>252</v>
      </c>
      <c r="M17" s="8">
        <f t="shared" si="2"/>
        <v>203</v>
      </c>
      <c r="N17" s="8">
        <f t="shared" si="2"/>
        <v>251</v>
      </c>
      <c r="O17" s="8">
        <f t="shared" si="2"/>
        <v>243</v>
      </c>
      <c r="P17" s="8">
        <f t="shared" si="2"/>
        <v>105</v>
      </c>
      <c r="Q17" s="23">
        <f t="shared" si="2"/>
        <v>102</v>
      </c>
      <c r="R17" s="22">
        <f t="shared" si="2"/>
        <v>63</v>
      </c>
      <c r="S17" s="8">
        <f t="shared" si="2"/>
        <v>53</v>
      </c>
      <c r="T17" s="8">
        <f t="shared" si="2"/>
        <v>135</v>
      </c>
      <c r="U17" s="8">
        <f t="shared" si="2"/>
        <v>93</v>
      </c>
      <c r="V17" s="8">
        <f t="shared" si="2"/>
        <v>103</v>
      </c>
      <c r="W17" s="8">
        <f t="shared" si="2"/>
        <v>115</v>
      </c>
      <c r="X17" s="8">
        <f t="shared" si="2"/>
        <v>108</v>
      </c>
      <c r="Y17" s="8">
        <f t="shared" si="2"/>
        <v>102</v>
      </c>
      <c r="Z17" s="31">
        <f t="shared" si="2"/>
        <v>80</v>
      </c>
      <c r="AA17" s="8">
        <f t="shared" si="2"/>
        <v>81</v>
      </c>
      <c r="AB17" s="8">
        <f t="shared" si="2"/>
        <v>0</v>
      </c>
      <c r="AC17" s="31">
        <f t="shared" si="2"/>
        <v>0</v>
      </c>
      <c r="AD17" s="63"/>
      <c r="AE17" s="28">
        <f t="shared" si="1"/>
        <v>933</v>
      </c>
    </row>
    <row r="18" spans="1:31" ht="20.25" customHeight="1" x14ac:dyDescent="0.25">
      <c r="A18" s="131" t="s">
        <v>79</v>
      </c>
      <c r="B18" s="139"/>
      <c r="C18" s="33" t="s">
        <v>14</v>
      </c>
      <c r="D18" s="7">
        <f>IFERROR((E14-E18)/2,"")</f>
        <v>4408</v>
      </c>
      <c r="E18" s="56">
        <f t="shared" si="0"/>
        <v>2112</v>
      </c>
      <c r="F18" s="17">
        <v>218</v>
      </c>
      <c r="G18" s="5">
        <v>135</v>
      </c>
      <c r="H18" s="5">
        <v>199</v>
      </c>
      <c r="I18" s="5">
        <v>185</v>
      </c>
      <c r="J18" s="5">
        <v>201</v>
      </c>
      <c r="K18" s="5">
        <v>196</v>
      </c>
      <c r="L18" s="17">
        <v>132</v>
      </c>
      <c r="M18" s="5">
        <v>188</v>
      </c>
      <c r="N18" s="5">
        <v>225</v>
      </c>
      <c r="O18" s="5">
        <v>232</v>
      </c>
      <c r="P18" s="5">
        <v>102</v>
      </c>
      <c r="Q18" s="21">
        <v>99</v>
      </c>
      <c r="R18" s="20">
        <v>68</v>
      </c>
      <c r="S18" s="5">
        <v>57</v>
      </c>
      <c r="T18" s="5">
        <v>144</v>
      </c>
      <c r="U18" s="5">
        <v>109</v>
      </c>
      <c r="V18" s="5">
        <v>107</v>
      </c>
      <c r="W18" s="5">
        <v>113</v>
      </c>
      <c r="X18" s="5">
        <v>102</v>
      </c>
      <c r="Y18" s="5">
        <v>98</v>
      </c>
      <c r="Z18" s="30">
        <v>81</v>
      </c>
      <c r="AA18" s="5">
        <v>73</v>
      </c>
      <c r="AB18" s="5"/>
      <c r="AC18" s="30"/>
      <c r="AD18" s="63">
        <f>IFERROR((AE14-AE18)/2,"")</f>
        <v>5239</v>
      </c>
      <c r="AE18" s="28">
        <f t="shared" si="1"/>
        <v>952</v>
      </c>
    </row>
    <row r="19" spans="1:31" ht="20.25" customHeight="1" x14ac:dyDescent="0.25">
      <c r="B19" s="139"/>
      <c r="C19" s="33" t="s">
        <v>13</v>
      </c>
      <c r="D19" s="7">
        <f>IFERROR((E14-E19)/2,"")</f>
        <v>5408</v>
      </c>
      <c r="E19" s="56">
        <f t="shared" si="0"/>
        <v>112</v>
      </c>
      <c r="F19" s="17">
        <v>14</v>
      </c>
      <c r="G19" s="5">
        <v>5</v>
      </c>
      <c r="H19" s="5">
        <v>9</v>
      </c>
      <c r="I19" s="5">
        <v>10</v>
      </c>
      <c r="J19" s="5">
        <v>9</v>
      </c>
      <c r="K19" s="5">
        <v>8</v>
      </c>
      <c r="L19" s="17">
        <v>11</v>
      </c>
      <c r="M19" s="5">
        <v>7</v>
      </c>
      <c r="N19" s="5">
        <v>6</v>
      </c>
      <c r="O19" s="5">
        <v>6</v>
      </c>
      <c r="P19" s="5">
        <v>16</v>
      </c>
      <c r="Q19" s="21">
        <v>11</v>
      </c>
      <c r="R19" s="20">
        <v>7</v>
      </c>
      <c r="S19" s="5">
        <v>1</v>
      </c>
      <c r="T19" s="5">
        <v>12</v>
      </c>
      <c r="U19" s="5">
        <v>8</v>
      </c>
      <c r="V19" s="5">
        <v>12</v>
      </c>
      <c r="W19" s="5">
        <v>11</v>
      </c>
      <c r="X19" s="5">
        <v>10</v>
      </c>
      <c r="Y19" s="5">
        <v>9</v>
      </c>
      <c r="Z19" s="30"/>
      <c r="AA19" s="5">
        <v>14</v>
      </c>
      <c r="AB19" s="5"/>
      <c r="AC19" s="30"/>
      <c r="AD19" s="63">
        <f>IFERROR((AE14-AE19)/2,"")</f>
        <v>5673</v>
      </c>
      <c r="AE19" s="28">
        <f t="shared" si="1"/>
        <v>84</v>
      </c>
    </row>
    <row r="20" spans="1:31" ht="20.25" customHeight="1" x14ac:dyDescent="0.25">
      <c r="A20" s="131" t="s">
        <v>78</v>
      </c>
      <c r="B20" s="139"/>
      <c r="C20" s="87" t="s">
        <v>43</v>
      </c>
      <c r="D20" s="7">
        <f>IFERROR((E14-E20)/2,"")</f>
        <v>5460</v>
      </c>
      <c r="E20" s="56">
        <f t="shared" si="0"/>
        <v>8</v>
      </c>
      <c r="F20" s="17">
        <v>0</v>
      </c>
      <c r="G20" s="5">
        <v>1</v>
      </c>
      <c r="H20" s="5">
        <v>2</v>
      </c>
      <c r="I20" s="5">
        <v>1</v>
      </c>
      <c r="J20" s="5">
        <v>0</v>
      </c>
      <c r="K20" s="5">
        <v>1</v>
      </c>
      <c r="L20" s="17">
        <v>0</v>
      </c>
      <c r="M20" s="5">
        <v>1</v>
      </c>
      <c r="N20" s="5">
        <v>0</v>
      </c>
      <c r="O20" s="5">
        <v>0</v>
      </c>
      <c r="P20" s="5">
        <v>2</v>
      </c>
      <c r="Q20" s="21">
        <v>0</v>
      </c>
      <c r="R20" s="20">
        <v>0</v>
      </c>
      <c r="S20" s="5">
        <v>0</v>
      </c>
      <c r="T20" s="5">
        <v>1</v>
      </c>
      <c r="U20" s="5">
        <v>0</v>
      </c>
      <c r="V20" s="5">
        <v>2</v>
      </c>
      <c r="W20" s="5">
        <v>0</v>
      </c>
      <c r="X20" s="5">
        <v>1</v>
      </c>
      <c r="Y20" s="5">
        <v>2</v>
      </c>
      <c r="Z20" s="30">
        <v>0</v>
      </c>
      <c r="AA20" s="5">
        <v>1</v>
      </c>
      <c r="AB20" s="5"/>
      <c r="AC20" s="30"/>
      <c r="AD20" s="63">
        <f>IFERROR((AE14-AE20)/2,"")</f>
        <v>5711.5</v>
      </c>
      <c r="AE20" s="28">
        <f t="shared" si="1"/>
        <v>7</v>
      </c>
    </row>
    <row r="21" spans="1:31" ht="20.25" customHeight="1" x14ac:dyDescent="0.25">
      <c r="B21" s="139"/>
      <c r="C21" s="33" t="s">
        <v>12</v>
      </c>
      <c r="D21" s="6"/>
      <c r="E21" s="57">
        <f t="shared" si="0"/>
        <v>104</v>
      </c>
      <c r="F21" s="18">
        <f t="shared" ref="F21:AC21" si="3">F19-F20</f>
        <v>14</v>
      </c>
      <c r="G21" s="8">
        <f t="shared" si="3"/>
        <v>4</v>
      </c>
      <c r="H21" s="8">
        <f t="shared" si="3"/>
        <v>7</v>
      </c>
      <c r="I21" s="8">
        <f t="shared" si="3"/>
        <v>9</v>
      </c>
      <c r="J21" s="8">
        <f t="shared" si="3"/>
        <v>9</v>
      </c>
      <c r="K21" s="8">
        <f t="shared" si="3"/>
        <v>7</v>
      </c>
      <c r="L21" s="18">
        <f t="shared" si="3"/>
        <v>11</v>
      </c>
      <c r="M21" s="8">
        <f t="shared" si="3"/>
        <v>6</v>
      </c>
      <c r="N21" s="8">
        <f t="shared" si="3"/>
        <v>6</v>
      </c>
      <c r="O21" s="8">
        <f t="shared" si="3"/>
        <v>6</v>
      </c>
      <c r="P21" s="8">
        <f t="shared" si="3"/>
        <v>14</v>
      </c>
      <c r="Q21" s="23">
        <f t="shared" si="3"/>
        <v>11</v>
      </c>
      <c r="R21" s="22">
        <f t="shared" si="3"/>
        <v>7</v>
      </c>
      <c r="S21" s="8">
        <f t="shared" si="3"/>
        <v>1</v>
      </c>
      <c r="T21" s="8">
        <f t="shared" si="3"/>
        <v>11</v>
      </c>
      <c r="U21" s="8">
        <f t="shared" si="3"/>
        <v>8</v>
      </c>
      <c r="V21" s="8">
        <f t="shared" si="3"/>
        <v>10</v>
      </c>
      <c r="W21" s="8">
        <f t="shared" si="3"/>
        <v>11</v>
      </c>
      <c r="X21" s="8">
        <f t="shared" si="3"/>
        <v>9</v>
      </c>
      <c r="Y21" s="8">
        <f t="shared" si="3"/>
        <v>7</v>
      </c>
      <c r="Z21" s="31">
        <f t="shared" si="3"/>
        <v>0</v>
      </c>
      <c r="AA21" s="8">
        <f t="shared" si="3"/>
        <v>13</v>
      </c>
      <c r="AB21" s="8">
        <f t="shared" si="3"/>
        <v>0</v>
      </c>
      <c r="AC21" s="31">
        <f t="shared" si="3"/>
        <v>0</v>
      </c>
      <c r="AD21" s="63"/>
      <c r="AE21" s="28">
        <f t="shared" si="1"/>
        <v>77</v>
      </c>
    </row>
    <row r="22" spans="1:31" ht="20.25" customHeight="1" thickBot="1" x14ac:dyDescent="0.3">
      <c r="B22" s="140"/>
      <c r="C22" s="36" t="s">
        <v>84</v>
      </c>
      <c r="D22" s="37"/>
      <c r="E22" s="58">
        <f t="shared" si="0"/>
        <v>1776</v>
      </c>
      <c r="F22" s="54">
        <v>99</v>
      </c>
      <c r="G22" s="39">
        <v>75</v>
      </c>
      <c r="H22" s="39">
        <v>181</v>
      </c>
      <c r="I22" s="39">
        <v>156</v>
      </c>
      <c r="J22" s="39">
        <v>108</v>
      </c>
      <c r="K22" s="39">
        <v>122</v>
      </c>
      <c r="L22" s="54">
        <v>210</v>
      </c>
      <c r="M22" s="39">
        <v>190</v>
      </c>
      <c r="N22" s="39">
        <v>162</v>
      </c>
      <c r="O22" s="39">
        <v>156</v>
      </c>
      <c r="P22" s="39">
        <v>135</v>
      </c>
      <c r="Q22" s="40">
        <v>182</v>
      </c>
      <c r="R22" s="38">
        <v>93</v>
      </c>
      <c r="S22" s="39">
        <v>151</v>
      </c>
      <c r="T22" s="39">
        <v>214</v>
      </c>
      <c r="U22" s="39">
        <v>244</v>
      </c>
      <c r="V22" s="39">
        <v>267</v>
      </c>
      <c r="W22" s="39">
        <v>235</v>
      </c>
      <c r="X22" s="39">
        <v>218</v>
      </c>
      <c r="Y22" s="39">
        <v>189</v>
      </c>
      <c r="Z22" s="41">
        <v>140</v>
      </c>
      <c r="AA22" s="39">
        <v>154</v>
      </c>
      <c r="AB22" s="39"/>
      <c r="AC22" s="41"/>
      <c r="AD22" s="64"/>
      <c r="AE22" s="42">
        <f t="shared" si="1"/>
        <v>1905</v>
      </c>
    </row>
    <row r="23" spans="1:31" ht="20.25" customHeight="1" x14ac:dyDescent="0.25">
      <c r="B23" s="141" t="s">
        <v>11</v>
      </c>
      <c r="C23" s="44" t="s">
        <v>10</v>
      </c>
      <c r="D23" s="45">
        <v>0.1</v>
      </c>
      <c r="E23" s="59">
        <f t="shared" si="0"/>
        <v>19103</v>
      </c>
      <c r="F23" s="55">
        <v>1381</v>
      </c>
      <c r="G23" s="46">
        <v>1107</v>
      </c>
      <c r="H23" s="46">
        <v>1732</v>
      </c>
      <c r="I23" s="46">
        <v>1588</v>
      </c>
      <c r="J23" s="46">
        <v>1597</v>
      </c>
      <c r="K23" s="46">
        <v>1531</v>
      </c>
      <c r="L23" s="55">
        <v>1520</v>
      </c>
      <c r="M23" s="46">
        <v>1734</v>
      </c>
      <c r="N23" s="46">
        <v>1645</v>
      </c>
      <c r="O23" s="46">
        <v>1718</v>
      </c>
      <c r="P23" s="46">
        <v>1782</v>
      </c>
      <c r="Q23" s="47">
        <v>1768</v>
      </c>
      <c r="R23" s="55">
        <v>1946</v>
      </c>
      <c r="S23" s="46">
        <v>1326</v>
      </c>
      <c r="T23" s="46">
        <v>1974</v>
      </c>
      <c r="U23" s="46">
        <v>1886</v>
      </c>
      <c r="V23" s="46">
        <v>1854</v>
      </c>
      <c r="W23" s="46">
        <v>1936</v>
      </c>
      <c r="X23" s="55">
        <v>2162</v>
      </c>
      <c r="Y23" s="46">
        <v>2128</v>
      </c>
      <c r="Z23" s="46">
        <v>1994</v>
      </c>
      <c r="AA23" s="46">
        <v>1735</v>
      </c>
      <c r="AB23" s="46"/>
      <c r="AC23" s="48"/>
      <c r="AD23" s="84">
        <v>0.1</v>
      </c>
      <c r="AE23" s="49">
        <f t="shared" si="1"/>
        <v>18941</v>
      </c>
    </row>
    <row r="24" spans="1:31" ht="20.25" customHeight="1" x14ac:dyDescent="0.25">
      <c r="B24" s="139"/>
      <c r="C24" s="34" t="s">
        <v>9</v>
      </c>
      <c r="D24" s="6">
        <f>IFERROR((E23-E24)/2,"")</f>
        <v>9204.5</v>
      </c>
      <c r="E24" s="56">
        <f t="shared" si="0"/>
        <v>694</v>
      </c>
      <c r="F24" s="17">
        <v>8</v>
      </c>
      <c r="G24" s="5">
        <v>3</v>
      </c>
      <c r="H24" s="5">
        <v>28</v>
      </c>
      <c r="I24" s="5">
        <v>82</v>
      </c>
      <c r="J24" s="5">
        <v>57</v>
      </c>
      <c r="K24" s="5">
        <v>70</v>
      </c>
      <c r="L24" s="17">
        <v>76</v>
      </c>
      <c r="M24" s="5">
        <v>75</v>
      </c>
      <c r="N24" s="5">
        <v>69</v>
      </c>
      <c r="O24" s="5">
        <v>71</v>
      </c>
      <c r="P24" s="5">
        <v>74</v>
      </c>
      <c r="Q24" s="21">
        <v>81</v>
      </c>
      <c r="R24" s="17">
        <v>69</v>
      </c>
      <c r="S24" s="5">
        <v>69</v>
      </c>
      <c r="T24" s="5">
        <v>80</v>
      </c>
      <c r="U24" s="5">
        <v>70</v>
      </c>
      <c r="V24" s="5">
        <v>63</v>
      </c>
      <c r="W24" s="5">
        <v>83</v>
      </c>
      <c r="X24" s="17">
        <v>79</v>
      </c>
      <c r="Y24" s="5">
        <v>69</v>
      </c>
      <c r="Z24" s="5">
        <v>95</v>
      </c>
      <c r="AA24" s="5">
        <v>86</v>
      </c>
      <c r="AB24" s="5"/>
      <c r="AC24" s="30"/>
      <c r="AD24" s="85">
        <f>IFERROR((AE23-AE24)/2,"")</f>
        <v>9089</v>
      </c>
      <c r="AE24" s="28">
        <f t="shared" si="1"/>
        <v>763</v>
      </c>
    </row>
    <row r="25" spans="1:31" ht="20.25" customHeight="1" x14ac:dyDescent="0.25">
      <c r="A25" s="131" t="s">
        <v>80</v>
      </c>
      <c r="B25" s="139"/>
      <c r="C25" s="34" t="s">
        <v>8</v>
      </c>
      <c r="D25" s="6">
        <f>IFERROR((E23-E25)/2,"")</f>
        <v>9551</v>
      </c>
      <c r="E25" s="57">
        <f t="shared" si="0"/>
        <v>1</v>
      </c>
      <c r="F25" s="17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17">
        <v>1</v>
      </c>
      <c r="M25" s="5">
        <v>0</v>
      </c>
      <c r="N25" s="5">
        <v>0</v>
      </c>
      <c r="O25" s="5">
        <v>0</v>
      </c>
      <c r="P25" s="5">
        <v>0</v>
      </c>
      <c r="Q25" s="21">
        <v>0</v>
      </c>
      <c r="R25" s="17">
        <v>0</v>
      </c>
      <c r="S25" s="5">
        <v>0</v>
      </c>
      <c r="T25" s="5">
        <v>0</v>
      </c>
      <c r="U25" s="5">
        <v>0</v>
      </c>
      <c r="V25" s="5"/>
      <c r="W25" s="5"/>
      <c r="X25" s="17"/>
      <c r="Y25" s="5"/>
      <c r="Z25" s="5"/>
      <c r="AA25" s="5"/>
      <c r="AB25" s="5"/>
      <c r="AC25" s="30"/>
      <c r="AD25" s="85">
        <f>IFERROR((AE23-AE25)/2,"")</f>
        <v>9470.5</v>
      </c>
      <c r="AE25" s="28">
        <f t="shared" si="1"/>
        <v>0</v>
      </c>
    </row>
    <row r="26" spans="1:31" ht="20.25" customHeight="1" thickBot="1" x14ac:dyDescent="0.3">
      <c r="B26" s="140"/>
      <c r="C26" s="50" t="s">
        <v>7</v>
      </c>
      <c r="D26" s="51"/>
      <c r="E26" s="60">
        <f t="shared" si="0"/>
        <v>5</v>
      </c>
      <c r="F26" s="54">
        <v>0</v>
      </c>
      <c r="G26" s="39">
        <v>0</v>
      </c>
      <c r="H26" s="39">
        <v>0</v>
      </c>
      <c r="I26" s="39">
        <v>0</v>
      </c>
      <c r="J26" s="5">
        <v>2</v>
      </c>
      <c r="K26" s="5">
        <v>1</v>
      </c>
      <c r="L26" s="17">
        <v>2</v>
      </c>
      <c r="M26" s="39">
        <v>0</v>
      </c>
      <c r="N26" s="39">
        <v>0</v>
      </c>
      <c r="O26" s="39">
        <v>0</v>
      </c>
      <c r="P26" s="39">
        <v>0</v>
      </c>
      <c r="Q26" s="40">
        <v>0</v>
      </c>
      <c r="R26" s="54">
        <v>1</v>
      </c>
      <c r="S26" s="39">
        <v>0</v>
      </c>
      <c r="T26" s="39">
        <v>4</v>
      </c>
      <c r="U26" s="39">
        <v>0</v>
      </c>
      <c r="V26" s="39">
        <v>1</v>
      </c>
      <c r="W26" s="39"/>
      <c r="X26" s="54"/>
      <c r="Y26" s="39">
        <v>1</v>
      </c>
      <c r="Z26" s="39"/>
      <c r="AA26" s="39">
        <v>2</v>
      </c>
      <c r="AB26" s="39"/>
      <c r="AC26" s="41"/>
      <c r="AD26" s="86"/>
      <c r="AE26" s="42">
        <f t="shared" si="1"/>
        <v>9</v>
      </c>
    </row>
    <row r="27" spans="1:31" ht="20.25" customHeight="1" x14ac:dyDescent="0.25">
      <c r="B27" s="142" t="s">
        <v>6</v>
      </c>
      <c r="C27" s="43" t="s">
        <v>5</v>
      </c>
      <c r="D27" s="4"/>
      <c r="E27" s="128">
        <f t="shared" ref="E27:AC27" si="4">IFERROR(E15/E14,"")</f>
        <v>0.23599926793557832</v>
      </c>
      <c r="F27" s="65">
        <f t="shared" si="4"/>
        <v>0.39520958083832336</v>
      </c>
      <c r="G27" s="66">
        <f t="shared" si="4"/>
        <v>0.31960784313725488</v>
      </c>
      <c r="H27" s="66">
        <f t="shared" si="4"/>
        <v>0.25289778714436251</v>
      </c>
      <c r="I27" s="66">
        <f t="shared" si="4"/>
        <v>0.2772785622593068</v>
      </c>
      <c r="J27" s="66">
        <f t="shared" si="4"/>
        <v>0.28004807692307693</v>
      </c>
      <c r="K27" s="66">
        <f t="shared" si="4"/>
        <v>0.23829787234042554</v>
      </c>
      <c r="L27" s="65">
        <f t="shared" si="4"/>
        <v>0.24928909952606634</v>
      </c>
      <c r="M27" s="66">
        <f t="shared" si="4"/>
        <v>0.18582541054451165</v>
      </c>
      <c r="N27" s="66">
        <f t="shared" si="4"/>
        <v>0.2574447646493756</v>
      </c>
      <c r="O27" s="66">
        <f t="shared" si="4"/>
        <v>0.23104056437389769</v>
      </c>
      <c r="P27" s="66">
        <f t="shared" si="4"/>
        <v>0.11238095238095239</v>
      </c>
      <c r="Q27" s="67">
        <f t="shared" si="4"/>
        <v>0.13899138991389914</v>
      </c>
      <c r="R27" s="68">
        <f t="shared" si="4"/>
        <v>7.4675324675324672E-2</v>
      </c>
      <c r="S27" s="66">
        <f t="shared" si="4"/>
        <v>7.2052401746724892E-2</v>
      </c>
      <c r="T27" s="66">
        <f t="shared" si="4"/>
        <v>0.10814814814814815</v>
      </c>
      <c r="U27" s="66">
        <f t="shared" si="4"/>
        <v>8.3827265029635903E-2</v>
      </c>
      <c r="V27" s="66">
        <f t="shared" si="4"/>
        <v>9.3922651933701654E-2</v>
      </c>
      <c r="W27" s="66">
        <f t="shared" si="4"/>
        <v>9.2481203007518803E-2</v>
      </c>
      <c r="X27" s="66">
        <f t="shared" si="4"/>
        <v>0.10008554319931566</v>
      </c>
      <c r="Y27" s="66">
        <f t="shared" si="4"/>
        <v>8.943089430894309E-2</v>
      </c>
      <c r="Z27" s="69">
        <f t="shared" si="4"/>
        <v>8.9730807577268201E-2</v>
      </c>
      <c r="AA27" s="66">
        <f t="shared" si="4"/>
        <v>8.584905660377358E-2</v>
      </c>
      <c r="AB27" s="66" t="str">
        <f t="shared" si="4"/>
        <v/>
      </c>
      <c r="AC27" s="69" t="str">
        <f t="shared" si="4"/>
        <v/>
      </c>
      <c r="AD27" s="70"/>
      <c r="AE27" s="127">
        <f>IFERROR(AE15/AE14,"")</f>
        <v>9.0113735783027116E-2</v>
      </c>
    </row>
    <row r="28" spans="1:31" ht="20.25" customHeight="1" x14ac:dyDescent="0.25">
      <c r="B28" s="143"/>
      <c r="C28" s="35" t="s">
        <v>4</v>
      </c>
      <c r="D28" s="4"/>
      <c r="E28" s="61">
        <f>SUM(F28:Q28)</f>
        <v>898</v>
      </c>
      <c r="F28" s="19">
        <f t="shared" ref="F28:AC28" si="5">F16+F24</f>
        <v>28</v>
      </c>
      <c r="G28" s="3">
        <f t="shared" si="5"/>
        <v>22</v>
      </c>
      <c r="H28" s="3">
        <f t="shared" si="5"/>
        <v>55</v>
      </c>
      <c r="I28" s="3">
        <f t="shared" si="5"/>
        <v>104</v>
      </c>
      <c r="J28" s="3">
        <f t="shared" si="5"/>
        <v>73</v>
      </c>
      <c r="K28" s="3">
        <f t="shared" si="5"/>
        <v>87</v>
      </c>
      <c r="L28" s="19">
        <f t="shared" si="5"/>
        <v>87</v>
      </c>
      <c r="M28" s="3">
        <f t="shared" si="5"/>
        <v>87</v>
      </c>
      <c r="N28" s="3">
        <f t="shared" si="5"/>
        <v>86</v>
      </c>
      <c r="O28" s="3">
        <f t="shared" si="5"/>
        <v>90</v>
      </c>
      <c r="P28" s="3">
        <f t="shared" si="5"/>
        <v>87</v>
      </c>
      <c r="Q28" s="25">
        <f t="shared" si="5"/>
        <v>92</v>
      </c>
      <c r="R28" s="24">
        <f t="shared" si="5"/>
        <v>75</v>
      </c>
      <c r="S28" s="3">
        <f t="shared" si="5"/>
        <v>82</v>
      </c>
      <c r="T28" s="3">
        <f t="shared" si="5"/>
        <v>91</v>
      </c>
      <c r="U28" s="3">
        <f t="shared" si="5"/>
        <v>76</v>
      </c>
      <c r="V28" s="3">
        <f t="shared" si="5"/>
        <v>79</v>
      </c>
      <c r="W28" s="3">
        <f t="shared" si="5"/>
        <v>91</v>
      </c>
      <c r="X28" s="3">
        <f t="shared" si="5"/>
        <v>88</v>
      </c>
      <c r="Y28" s="3">
        <f t="shared" si="5"/>
        <v>77</v>
      </c>
      <c r="Z28" s="32">
        <f t="shared" si="5"/>
        <v>105</v>
      </c>
      <c r="AA28" s="3">
        <f t="shared" si="5"/>
        <v>96</v>
      </c>
      <c r="AB28" s="3">
        <f t="shared" si="5"/>
        <v>0</v>
      </c>
      <c r="AC28" s="32">
        <f t="shared" si="5"/>
        <v>0</v>
      </c>
      <c r="AD28" s="63"/>
      <c r="AE28" s="29">
        <f>SUM(R28:AC28)</f>
        <v>860</v>
      </c>
    </row>
    <row r="29" spans="1:31" ht="20.25" customHeight="1" x14ac:dyDescent="0.25">
      <c r="B29" s="143"/>
      <c r="C29" s="35" t="s">
        <v>3</v>
      </c>
      <c r="D29" s="4"/>
      <c r="E29" s="61">
        <f>SUM(F29:Q29)</f>
        <v>113</v>
      </c>
      <c r="F29" s="19">
        <f t="shared" ref="F29:AC29" si="6">F19+F25</f>
        <v>14</v>
      </c>
      <c r="G29" s="3">
        <f t="shared" si="6"/>
        <v>5</v>
      </c>
      <c r="H29" s="3">
        <f t="shared" si="6"/>
        <v>9</v>
      </c>
      <c r="I29" s="3">
        <f t="shared" si="6"/>
        <v>10</v>
      </c>
      <c r="J29" s="3">
        <f t="shared" si="6"/>
        <v>9</v>
      </c>
      <c r="K29" s="3">
        <f t="shared" si="6"/>
        <v>8</v>
      </c>
      <c r="L29" s="19">
        <f t="shared" si="6"/>
        <v>12</v>
      </c>
      <c r="M29" s="3">
        <f t="shared" si="6"/>
        <v>7</v>
      </c>
      <c r="N29" s="3">
        <f t="shared" si="6"/>
        <v>6</v>
      </c>
      <c r="O29" s="3">
        <f t="shared" si="6"/>
        <v>6</v>
      </c>
      <c r="P29" s="3">
        <f t="shared" si="6"/>
        <v>16</v>
      </c>
      <c r="Q29" s="25">
        <f t="shared" si="6"/>
        <v>11</v>
      </c>
      <c r="R29" s="24">
        <f t="shared" si="6"/>
        <v>7</v>
      </c>
      <c r="S29" s="3">
        <f t="shared" si="6"/>
        <v>1</v>
      </c>
      <c r="T29" s="3">
        <f t="shared" si="6"/>
        <v>12</v>
      </c>
      <c r="U29" s="3">
        <f t="shared" si="6"/>
        <v>8</v>
      </c>
      <c r="V29" s="3">
        <f t="shared" si="6"/>
        <v>12</v>
      </c>
      <c r="W29" s="3">
        <f t="shared" si="6"/>
        <v>11</v>
      </c>
      <c r="X29" s="3">
        <f t="shared" si="6"/>
        <v>10</v>
      </c>
      <c r="Y29" s="3">
        <f t="shared" si="6"/>
        <v>9</v>
      </c>
      <c r="Z29" s="32">
        <f t="shared" si="6"/>
        <v>0</v>
      </c>
      <c r="AA29" s="3">
        <f t="shared" si="6"/>
        <v>14</v>
      </c>
      <c r="AB29" s="3">
        <f t="shared" si="6"/>
        <v>0</v>
      </c>
      <c r="AC29" s="32">
        <f t="shared" si="6"/>
        <v>0</v>
      </c>
      <c r="AD29" s="63"/>
      <c r="AE29" s="29">
        <f>SUM(R29:AC29)</f>
        <v>84</v>
      </c>
    </row>
    <row r="30" spans="1:31" ht="20.25" customHeight="1" x14ac:dyDescent="0.25">
      <c r="B30" s="143"/>
      <c r="C30" s="35" t="s">
        <v>2</v>
      </c>
      <c r="D30" s="4"/>
      <c r="E30" s="128">
        <f t="shared" ref="E30:AC30" si="7">IFERROR((E19+E25)/E22,"")</f>
        <v>6.3626126126126129E-2</v>
      </c>
      <c r="F30" s="71">
        <f t="shared" si="7"/>
        <v>0.14141414141414141</v>
      </c>
      <c r="G30" s="72">
        <f t="shared" si="7"/>
        <v>6.6666666666666666E-2</v>
      </c>
      <c r="H30" s="72">
        <f t="shared" si="7"/>
        <v>4.9723756906077346E-2</v>
      </c>
      <c r="I30" s="72">
        <f t="shared" si="7"/>
        <v>6.4102564102564097E-2</v>
      </c>
      <c r="J30" s="72">
        <f t="shared" si="7"/>
        <v>8.3333333333333329E-2</v>
      </c>
      <c r="K30" s="72">
        <f t="shared" si="7"/>
        <v>6.5573770491803282E-2</v>
      </c>
      <c r="L30" s="71">
        <f t="shared" si="7"/>
        <v>5.7142857142857141E-2</v>
      </c>
      <c r="M30" s="72">
        <f t="shared" si="7"/>
        <v>3.6842105263157891E-2</v>
      </c>
      <c r="N30" s="72">
        <f t="shared" si="7"/>
        <v>3.7037037037037035E-2</v>
      </c>
      <c r="O30" s="72">
        <f t="shared" si="7"/>
        <v>3.8461538461538464E-2</v>
      </c>
      <c r="P30" s="72">
        <f t="shared" si="7"/>
        <v>0.11851851851851852</v>
      </c>
      <c r="Q30" s="73">
        <f t="shared" si="7"/>
        <v>6.043956043956044E-2</v>
      </c>
      <c r="R30" s="74">
        <f t="shared" si="7"/>
        <v>7.5268817204301078E-2</v>
      </c>
      <c r="S30" s="72">
        <f t="shared" si="7"/>
        <v>6.6225165562913907E-3</v>
      </c>
      <c r="T30" s="72">
        <f t="shared" si="7"/>
        <v>5.6074766355140186E-2</v>
      </c>
      <c r="U30" s="72">
        <f t="shared" si="7"/>
        <v>3.2786885245901641E-2</v>
      </c>
      <c r="V30" s="72">
        <f t="shared" si="7"/>
        <v>4.49438202247191E-2</v>
      </c>
      <c r="W30" s="72">
        <f t="shared" si="7"/>
        <v>4.6808510638297871E-2</v>
      </c>
      <c r="X30" s="72">
        <f t="shared" si="7"/>
        <v>4.5871559633027525E-2</v>
      </c>
      <c r="Y30" s="72">
        <f t="shared" si="7"/>
        <v>4.7619047619047616E-2</v>
      </c>
      <c r="Z30" s="75">
        <f t="shared" si="7"/>
        <v>0</v>
      </c>
      <c r="AA30" s="72">
        <f t="shared" si="7"/>
        <v>9.0909090909090912E-2</v>
      </c>
      <c r="AB30" s="72" t="str">
        <f t="shared" si="7"/>
        <v/>
      </c>
      <c r="AC30" s="75" t="str">
        <f t="shared" si="7"/>
        <v/>
      </c>
      <c r="AD30" s="76"/>
      <c r="AE30" s="126">
        <f>IFERROR((AE19+AE25)/AE22,"")</f>
        <v>4.4094488188976377E-2</v>
      </c>
    </row>
    <row r="31" spans="1:31" ht="20.25" customHeight="1" x14ac:dyDescent="0.25">
      <c r="B31" s="143"/>
      <c r="C31" s="35" t="s">
        <v>1</v>
      </c>
      <c r="D31" s="4"/>
      <c r="E31" s="61">
        <f>SUM(F31:Q31)</f>
        <v>9</v>
      </c>
      <c r="F31" s="19">
        <f t="shared" ref="F31:AC31" si="8">F20+F25</f>
        <v>0</v>
      </c>
      <c r="G31" s="3">
        <f t="shared" si="8"/>
        <v>1</v>
      </c>
      <c r="H31" s="3">
        <f t="shared" si="8"/>
        <v>2</v>
      </c>
      <c r="I31" s="3">
        <f t="shared" si="8"/>
        <v>1</v>
      </c>
      <c r="J31" s="3">
        <f t="shared" si="8"/>
        <v>0</v>
      </c>
      <c r="K31" s="3">
        <f t="shared" si="8"/>
        <v>1</v>
      </c>
      <c r="L31" s="19">
        <f t="shared" si="8"/>
        <v>1</v>
      </c>
      <c r="M31" s="3">
        <f t="shared" si="8"/>
        <v>1</v>
      </c>
      <c r="N31" s="3">
        <f t="shared" si="8"/>
        <v>0</v>
      </c>
      <c r="O31" s="3">
        <f t="shared" si="8"/>
        <v>0</v>
      </c>
      <c r="P31" s="3">
        <f t="shared" si="8"/>
        <v>2</v>
      </c>
      <c r="Q31" s="25">
        <f t="shared" si="8"/>
        <v>0</v>
      </c>
      <c r="R31" s="24">
        <f t="shared" si="8"/>
        <v>0</v>
      </c>
      <c r="S31" s="3">
        <f t="shared" si="8"/>
        <v>0</v>
      </c>
      <c r="T31" s="3">
        <f t="shared" si="8"/>
        <v>1</v>
      </c>
      <c r="U31" s="3">
        <f t="shared" si="8"/>
        <v>0</v>
      </c>
      <c r="V31" s="3">
        <f t="shared" si="8"/>
        <v>2</v>
      </c>
      <c r="W31" s="3">
        <f t="shared" si="8"/>
        <v>0</v>
      </c>
      <c r="X31" s="3">
        <f t="shared" si="8"/>
        <v>1</v>
      </c>
      <c r="Y31" s="3">
        <f t="shared" si="8"/>
        <v>2</v>
      </c>
      <c r="Z31" s="32">
        <f t="shared" si="8"/>
        <v>0</v>
      </c>
      <c r="AA31" s="3">
        <f t="shared" si="8"/>
        <v>1</v>
      </c>
      <c r="AB31" s="3">
        <f t="shared" si="8"/>
        <v>0</v>
      </c>
      <c r="AC31" s="32">
        <f t="shared" si="8"/>
        <v>0</v>
      </c>
      <c r="AD31" s="63"/>
      <c r="AE31" s="29">
        <f>SUM(R31:AC31)</f>
        <v>7</v>
      </c>
    </row>
    <row r="32" spans="1:31" ht="20.25" customHeight="1" thickBot="1" x14ac:dyDescent="0.3">
      <c r="B32" s="144"/>
      <c r="C32" s="52" t="s">
        <v>0</v>
      </c>
      <c r="D32" s="53"/>
      <c r="E32" s="129">
        <f t="shared" ref="E32:AC32" si="9">IFERROR((E20+E25)/E22,"")</f>
        <v>5.0675675675675678E-3</v>
      </c>
      <c r="F32" s="77">
        <f t="shared" si="9"/>
        <v>0</v>
      </c>
      <c r="G32" s="78">
        <f t="shared" si="9"/>
        <v>1.3333333333333334E-2</v>
      </c>
      <c r="H32" s="78">
        <f t="shared" si="9"/>
        <v>1.1049723756906077E-2</v>
      </c>
      <c r="I32" s="78">
        <f t="shared" si="9"/>
        <v>6.41025641025641E-3</v>
      </c>
      <c r="J32" s="78">
        <f t="shared" si="9"/>
        <v>0</v>
      </c>
      <c r="K32" s="78">
        <f t="shared" si="9"/>
        <v>8.1967213114754103E-3</v>
      </c>
      <c r="L32" s="77">
        <f t="shared" si="9"/>
        <v>4.7619047619047623E-3</v>
      </c>
      <c r="M32" s="78">
        <f t="shared" si="9"/>
        <v>5.263157894736842E-3</v>
      </c>
      <c r="N32" s="78">
        <f t="shared" si="9"/>
        <v>0</v>
      </c>
      <c r="O32" s="78">
        <f t="shared" si="9"/>
        <v>0</v>
      </c>
      <c r="P32" s="78">
        <f t="shared" si="9"/>
        <v>1.4814814814814815E-2</v>
      </c>
      <c r="Q32" s="79">
        <f t="shared" si="9"/>
        <v>0</v>
      </c>
      <c r="R32" s="80">
        <f t="shared" si="9"/>
        <v>0</v>
      </c>
      <c r="S32" s="78">
        <f t="shared" si="9"/>
        <v>0</v>
      </c>
      <c r="T32" s="78">
        <f t="shared" si="9"/>
        <v>4.6728971962616819E-3</v>
      </c>
      <c r="U32" s="78">
        <f t="shared" si="9"/>
        <v>0</v>
      </c>
      <c r="V32" s="78">
        <f t="shared" si="9"/>
        <v>7.4906367041198503E-3</v>
      </c>
      <c r="W32" s="78">
        <f t="shared" si="9"/>
        <v>0</v>
      </c>
      <c r="X32" s="78">
        <f t="shared" si="9"/>
        <v>4.5871559633027525E-3</v>
      </c>
      <c r="Y32" s="78">
        <f t="shared" si="9"/>
        <v>1.0582010582010581E-2</v>
      </c>
      <c r="Z32" s="81">
        <f t="shared" si="9"/>
        <v>0</v>
      </c>
      <c r="AA32" s="78">
        <f t="shared" si="9"/>
        <v>6.4935064935064939E-3</v>
      </c>
      <c r="AB32" s="78" t="str">
        <f t="shared" si="9"/>
        <v/>
      </c>
      <c r="AC32" s="81" t="str">
        <f t="shared" si="9"/>
        <v/>
      </c>
      <c r="AD32" s="82"/>
      <c r="AE32" s="125">
        <f>IFERROR((AE20+AE25)/AE22,"")</f>
        <v>3.6745406824146981E-3</v>
      </c>
    </row>
  </sheetData>
  <protectedRanges>
    <protectedRange sqref="C3:C4" name="Range3"/>
    <protectedRange sqref="F18:AC20 F14:AC16 F24:Q24" name="Range1"/>
    <protectedRange sqref="F22:AC23 R24:AC24 F25:AC26" name="Range2"/>
    <protectedRange sqref="I3:I4" name="Range3_1"/>
    <protectedRange sqref="L3" name="Range3_2"/>
  </protectedRanges>
  <mergeCells count="43">
    <mergeCell ref="N12:N13"/>
    <mergeCell ref="C1:AE2"/>
    <mergeCell ref="F11:Q11"/>
    <mergeCell ref="AA12:AA13"/>
    <mergeCell ref="AB12:AB13"/>
    <mergeCell ref="AC12:AC13"/>
    <mergeCell ref="R11:AE11"/>
    <mergeCell ref="N3:AE4"/>
    <mergeCell ref="W12:W13"/>
    <mergeCell ref="X12:X13"/>
    <mergeCell ref="Y12:Y13"/>
    <mergeCell ref="Z12:Z13"/>
    <mergeCell ref="F12:F13"/>
    <mergeCell ref="G12:G13"/>
    <mergeCell ref="H12:H13"/>
    <mergeCell ref="I12:I13"/>
    <mergeCell ref="O12:O13"/>
    <mergeCell ref="P12:P13"/>
    <mergeCell ref="Q12:Q13"/>
    <mergeCell ref="AE12:AE13"/>
    <mergeCell ref="R12:R13"/>
    <mergeCell ref="S12:S13"/>
    <mergeCell ref="T12:T13"/>
    <mergeCell ref="U12:U13"/>
    <mergeCell ref="V12:V13"/>
    <mergeCell ref="B1:B2"/>
    <mergeCell ref="B12:B13"/>
    <mergeCell ref="C12:C13"/>
    <mergeCell ref="D12:E13"/>
    <mergeCell ref="L12:L13"/>
    <mergeCell ref="L3:M3"/>
    <mergeCell ref="J4:K4"/>
    <mergeCell ref="L4:M4"/>
    <mergeCell ref="J3:K3"/>
    <mergeCell ref="B11:E11"/>
    <mergeCell ref="K12:K13"/>
    <mergeCell ref="M12:M13"/>
    <mergeCell ref="J12:J13"/>
    <mergeCell ref="B14:B22"/>
    <mergeCell ref="B23:B26"/>
    <mergeCell ref="B27:B32"/>
    <mergeCell ref="D3:F3"/>
    <mergeCell ref="D4:F4"/>
  </mergeCells>
  <phoneticPr fontId="2" type="noConversion"/>
  <pageMargins left="0.7" right="0.7" top="0.75" bottom="0.75" header="0.3" footer="0.3"/>
  <pageSetup paperSize="9" orientation="portrait" r:id="rId1"/>
  <ignoredErrors>
    <ignoredError sqref="E27 AE30 AE27 E30" formula="1"/>
    <ignoredError sqref="AE14:AE15 AE18:AE19 AE22:AE26 AE20 AE16 E14:E16 E18:E20 E22:E26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44"/>
  <sheetViews>
    <sheetView showGridLines="0" zoomScale="80" zoomScaleNormal="80" workbookViewId="0">
      <pane xSplit="5" ySplit="4" topLeftCell="AD10" activePane="bottomRight" state="frozen"/>
      <selection pane="topRight" activeCell="F1" sqref="F1"/>
      <selection pane="bottomLeft" activeCell="A5" sqref="A5"/>
      <selection pane="bottomRight" activeCell="S16" sqref="S16:AC16"/>
    </sheetView>
  </sheetViews>
  <sheetFormatPr defaultRowHeight="13.5" x14ac:dyDescent="0.15"/>
  <cols>
    <col min="3" max="3" width="28.625" customWidth="1"/>
    <col min="4" max="4" width="0.375" customWidth="1"/>
    <col min="5" max="5" width="12.625" customWidth="1"/>
    <col min="6" max="6" width="12" customWidth="1"/>
    <col min="7" max="8" width="10.5" customWidth="1"/>
    <col min="9" max="9" width="10.125" customWidth="1"/>
    <col min="10" max="10" width="10.5" customWidth="1"/>
    <col min="11" max="11" width="12" customWidth="1"/>
    <col min="12" max="12" width="10.5" customWidth="1"/>
    <col min="13" max="13" width="10" customWidth="1"/>
    <col min="14" max="15" width="10.5" customWidth="1"/>
    <col min="16" max="16" width="12" customWidth="1"/>
    <col min="17" max="17" width="10" customWidth="1"/>
    <col min="18" max="18" width="11.75" customWidth="1"/>
    <col min="19" max="19" width="10" customWidth="1"/>
    <col min="20" max="20" width="10.75" customWidth="1"/>
    <col min="21" max="21" width="11.125" customWidth="1"/>
    <col min="22" max="25" width="12" customWidth="1"/>
    <col min="26" max="26" width="10.125" customWidth="1"/>
    <col min="27" max="27" width="12" customWidth="1"/>
    <col min="28" max="29" width="9" customWidth="1"/>
    <col min="30" max="30" width="0.375" customWidth="1"/>
    <col min="31" max="31" width="12.625" customWidth="1"/>
    <col min="33" max="33" width="14.625" customWidth="1"/>
    <col min="34" max="35" width="15.875" customWidth="1"/>
    <col min="47" max="47" width="3.5" customWidth="1"/>
  </cols>
  <sheetData>
    <row r="1" spans="2:35" ht="13.5" customHeight="1" x14ac:dyDescent="0.15">
      <c r="B1" s="147" t="s">
        <v>26</v>
      </c>
      <c r="C1" s="172" t="s">
        <v>70</v>
      </c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5"/>
      <c r="AE1" s="175"/>
    </row>
    <row r="2" spans="2:35" ht="27.75" customHeight="1" x14ac:dyDescent="0.15">
      <c r="B2" s="148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3"/>
      <c r="Q2" s="174"/>
      <c r="R2" s="173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5"/>
      <c r="AE2" s="175"/>
    </row>
    <row r="3" spans="2:35" ht="21.75" customHeight="1" x14ac:dyDescent="0.15">
      <c r="B3" s="124" t="s">
        <v>69</v>
      </c>
      <c r="C3" s="14"/>
      <c r="D3" s="145" t="s">
        <v>75</v>
      </c>
      <c r="E3" s="146"/>
      <c r="F3" s="146"/>
      <c r="G3" s="15"/>
      <c r="H3" s="16" t="s">
        <v>25</v>
      </c>
      <c r="I3" s="16" t="s">
        <v>74</v>
      </c>
      <c r="J3" s="159" t="s">
        <v>24</v>
      </c>
      <c r="K3" s="159"/>
      <c r="L3" s="159" t="s">
        <v>72</v>
      </c>
      <c r="M3" s="160"/>
      <c r="N3" s="184"/>
      <c r="O3" s="185"/>
      <c r="P3" s="185"/>
      <c r="Q3" s="185"/>
      <c r="R3" s="18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E3" s="175"/>
    </row>
    <row r="4" spans="2:35" ht="21.75" customHeight="1" x14ac:dyDescent="0.25">
      <c r="B4" s="13" t="s">
        <v>23</v>
      </c>
      <c r="C4" s="14"/>
      <c r="D4" s="145" t="s">
        <v>76</v>
      </c>
      <c r="E4" s="146"/>
      <c r="F4" s="146"/>
      <c r="G4" s="15"/>
      <c r="H4" s="16" t="s">
        <v>22</v>
      </c>
      <c r="I4" s="16" t="s">
        <v>73</v>
      </c>
      <c r="J4" s="161"/>
      <c r="K4" s="162"/>
      <c r="L4" s="163"/>
      <c r="M4" s="162"/>
      <c r="N4" s="186"/>
      <c r="O4" s="186"/>
      <c r="P4" s="186"/>
      <c r="Q4" s="186"/>
      <c r="R4" s="186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</row>
    <row r="5" spans="2:35" ht="5.25" customHeight="1" x14ac:dyDescent="0.25">
      <c r="B5" s="10"/>
      <c r="C5" s="10"/>
      <c r="D5" s="10"/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2:35" ht="15.75" x14ac:dyDescent="0.25">
      <c r="B6" s="12" t="s">
        <v>60</v>
      </c>
      <c r="C6" s="10"/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2:35" ht="15.75" x14ac:dyDescent="0.25">
      <c r="B7" s="12" t="s">
        <v>61</v>
      </c>
      <c r="C7" s="10"/>
      <c r="D7" s="10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2:35" ht="15.75" x14ac:dyDescent="0.25">
      <c r="B8" s="12" t="s">
        <v>62</v>
      </c>
      <c r="C8" s="10"/>
      <c r="D8" s="10"/>
      <c r="E8" s="1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2:35" ht="15.75" x14ac:dyDescent="0.25">
      <c r="B9" s="12" t="s">
        <v>63</v>
      </c>
      <c r="C9" s="10"/>
      <c r="D9" s="10"/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2:35" ht="15.75" x14ac:dyDescent="0.25">
      <c r="B10" s="12" t="s">
        <v>42</v>
      </c>
      <c r="C10" s="10"/>
      <c r="D10" s="10"/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2:35" ht="4.5" customHeight="1" thickBot="1" x14ac:dyDescent="0.3">
      <c r="B11" s="1"/>
      <c r="C11" s="1"/>
      <c r="D11" s="9"/>
      <c r="E11" s="9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2:35" ht="18.75" x14ac:dyDescent="0.15">
      <c r="B12" s="188" t="s">
        <v>65</v>
      </c>
      <c r="C12" s="165"/>
      <c r="D12" s="165"/>
      <c r="E12" s="166"/>
      <c r="F12" s="176" t="s">
        <v>39</v>
      </c>
      <c r="G12" s="177"/>
      <c r="H12" s="177"/>
      <c r="I12" s="177"/>
      <c r="J12" s="177"/>
      <c r="K12" s="177"/>
      <c r="L12" s="178"/>
      <c r="M12" s="178"/>
      <c r="N12" s="178"/>
      <c r="O12" s="178"/>
      <c r="P12" s="178"/>
      <c r="Q12" s="178"/>
      <c r="R12" s="176" t="s">
        <v>67</v>
      </c>
      <c r="S12" s="189"/>
      <c r="T12" s="189"/>
      <c r="U12" s="189"/>
      <c r="V12" s="189"/>
      <c r="W12" s="189"/>
      <c r="X12" s="189"/>
      <c r="Y12" s="189"/>
      <c r="Z12" s="189"/>
      <c r="AA12" s="189"/>
      <c r="AB12" s="189"/>
      <c r="AC12" s="189"/>
      <c r="AD12" s="189"/>
      <c r="AE12" s="190"/>
    </row>
    <row r="13" spans="2:35" ht="13.5" customHeight="1" x14ac:dyDescent="0.15">
      <c r="B13" s="149" t="s">
        <v>19</v>
      </c>
      <c r="C13" s="151" t="s">
        <v>18</v>
      </c>
      <c r="D13" s="153" t="s">
        <v>71</v>
      </c>
      <c r="E13" s="154"/>
      <c r="F13" s="157" t="s">
        <v>33</v>
      </c>
      <c r="G13" s="157" t="s">
        <v>34</v>
      </c>
      <c r="H13" s="157" t="s">
        <v>35</v>
      </c>
      <c r="I13" s="157" t="s">
        <v>36</v>
      </c>
      <c r="J13" s="157" t="s">
        <v>37</v>
      </c>
      <c r="K13" s="157" t="s">
        <v>38</v>
      </c>
      <c r="L13" s="157" t="s">
        <v>27</v>
      </c>
      <c r="M13" s="157" t="s">
        <v>28</v>
      </c>
      <c r="N13" s="157" t="s">
        <v>29</v>
      </c>
      <c r="O13" s="157" t="s">
        <v>30</v>
      </c>
      <c r="P13" s="157" t="s">
        <v>31</v>
      </c>
      <c r="Q13" s="157" t="s">
        <v>32</v>
      </c>
      <c r="R13" s="169" t="s">
        <v>33</v>
      </c>
      <c r="S13" s="170" t="s">
        <v>34</v>
      </c>
      <c r="T13" s="170" t="s">
        <v>35</v>
      </c>
      <c r="U13" s="170" t="s">
        <v>36</v>
      </c>
      <c r="V13" s="170" t="s">
        <v>37</v>
      </c>
      <c r="W13" s="170" t="s">
        <v>38</v>
      </c>
      <c r="X13" s="170" t="s">
        <v>27</v>
      </c>
      <c r="Y13" s="170" t="s">
        <v>28</v>
      </c>
      <c r="Z13" s="179" t="s">
        <v>29</v>
      </c>
      <c r="AA13" s="179" t="s">
        <v>30</v>
      </c>
      <c r="AB13" s="179" t="s">
        <v>31</v>
      </c>
      <c r="AC13" s="179" t="s">
        <v>32</v>
      </c>
      <c r="AD13" s="83"/>
      <c r="AE13" s="167" t="s">
        <v>77</v>
      </c>
      <c r="AH13" s="199" t="s">
        <v>86</v>
      </c>
      <c r="AI13" s="198" t="s">
        <v>87</v>
      </c>
    </row>
    <row r="14" spans="2:35" x14ac:dyDescent="0.15">
      <c r="B14" s="150"/>
      <c r="C14" s="152"/>
      <c r="D14" s="155"/>
      <c r="E14" s="156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71"/>
      <c r="T14" s="171"/>
      <c r="U14" s="171"/>
      <c r="V14" s="171"/>
      <c r="W14" s="171"/>
      <c r="X14" s="171"/>
      <c r="Y14" s="171"/>
      <c r="Z14" s="180"/>
      <c r="AA14" s="180"/>
      <c r="AB14" s="180"/>
      <c r="AC14" s="180"/>
      <c r="AD14" s="62"/>
      <c r="AE14" s="168"/>
      <c r="AH14" s="199"/>
      <c r="AI14" s="198"/>
    </row>
    <row r="15" spans="2:35" ht="20.25" customHeight="1" x14ac:dyDescent="0.25">
      <c r="B15" s="191" t="s">
        <v>44</v>
      </c>
      <c r="C15" s="88" t="s">
        <v>45</v>
      </c>
      <c r="D15" s="7"/>
      <c r="E15" s="56">
        <f>SUM(F15:Q15)</f>
        <v>7423600</v>
      </c>
      <c r="F15" s="17">
        <v>1373400</v>
      </c>
      <c r="G15" s="17">
        <v>230500</v>
      </c>
      <c r="H15" s="17">
        <v>592800</v>
      </c>
      <c r="I15" s="5">
        <v>430500</v>
      </c>
      <c r="J15" s="5">
        <v>700100</v>
      </c>
      <c r="K15" s="5">
        <v>485500</v>
      </c>
      <c r="L15" s="17">
        <v>294800</v>
      </c>
      <c r="M15" s="5">
        <v>477400</v>
      </c>
      <c r="N15" s="5">
        <v>408300</v>
      </c>
      <c r="O15" s="5">
        <v>597000</v>
      </c>
      <c r="P15" s="5">
        <v>1183100</v>
      </c>
      <c r="Q15" s="21">
        <v>650200</v>
      </c>
      <c r="R15" s="20">
        <v>229000</v>
      </c>
      <c r="S15" s="5">
        <v>185600</v>
      </c>
      <c r="T15" s="5">
        <v>978800</v>
      </c>
      <c r="U15" s="5">
        <v>959500</v>
      </c>
      <c r="V15" s="5">
        <v>437100</v>
      </c>
      <c r="W15" s="5">
        <v>316700</v>
      </c>
      <c r="X15" s="5">
        <v>824900</v>
      </c>
      <c r="Y15" s="5">
        <v>581500</v>
      </c>
      <c r="Z15" s="30">
        <v>560900</v>
      </c>
      <c r="AA15" s="5">
        <v>437300</v>
      </c>
      <c r="AB15" s="5"/>
      <c r="AC15" s="30"/>
      <c r="AD15" s="63"/>
      <c r="AE15" s="28">
        <f>SUM(R15:AC15)</f>
        <v>5511300</v>
      </c>
      <c r="AG15" s="194" t="s">
        <v>88</v>
      </c>
      <c r="AH15" s="200">
        <f>E15</f>
        <v>7423600</v>
      </c>
      <c r="AI15" s="200">
        <f>AE15</f>
        <v>5511300</v>
      </c>
    </row>
    <row r="16" spans="2:35" ht="20.25" customHeight="1" x14ac:dyDescent="0.25">
      <c r="B16" s="139"/>
      <c r="C16" s="88" t="s">
        <v>49</v>
      </c>
      <c r="D16" s="7"/>
      <c r="E16" s="56">
        <f>SUM(F16:Q16)</f>
        <v>111</v>
      </c>
      <c r="F16" s="5">
        <v>14</v>
      </c>
      <c r="G16" s="5">
        <v>5</v>
      </c>
      <c r="H16" s="5">
        <v>9</v>
      </c>
      <c r="I16" s="5">
        <v>8</v>
      </c>
      <c r="J16" s="5">
        <v>11</v>
      </c>
      <c r="K16" s="5">
        <v>7</v>
      </c>
      <c r="L16" s="17">
        <v>6</v>
      </c>
      <c r="M16" s="5">
        <v>12</v>
      </c>
      <c r="N16" s="5">
        <v>6</v>
      </c>
      <c r="O16" s="5">
        <v>5</v>
      </c>
      <c r="P16" s="5">
        <v>17</v>
      </c>
      <c r="Q16" s="21">
        <v>11</v>
      </c>
      <c r="R16" s="20">
        <v>4</v>
      </c>
      <c r="S16" s="5">
        <v>2</v>
      </c>
      <c r="T16" s="5">
        <v>9</v>
      </c>
      <c r="U16" s="5">
        <v>8</v>
      </c>
      <c r="V16" s="5">
        <v>7</v>
      </c>
      <c r="W16" s="5">
        <v>9</v>
      </c>
      <c r="X16" s="5">
        <v>10</v>
      </c>
      <c r="Y16" s="5">
        <v>7</v>
      </c>
      <c r="Z16" s="30">
        <v>11</v>
      </c>
      <c r="AA16" s="5">
        <v>10</v>
      </c>
      <c r="AB16" s="5"/>
      <c r="AC16" s="30"/>
      <c r="AD16" s="63"/>
      <c r="AE16" s="28">
        <f>SUM(R16:AC16)</f>
        <v>77</v>
      </c>
      <c r="AG16" s="195" t="s">
        <v>89</v>
      </c>
      <c r="AH16" s="200">
        <f>E16</f>
        <v>111</v>
      </c>
      <c r="AI16" s="200">
        <f>AE16</f>
        <v>77</v>
      </c>
    </row>
    <row r="17" spans="2:35" ht="20.25" customHeight="1" x14ac:dyDescent="0.25">
      <c r="B17" s="139"/>
      <c r="C17" s="88" t="s">
        <v>46</v>
      </c>
      <c r="D17" s="7"/>
      <c r="E17" s="56">
        <f>SUM(F17:Q17)</f>
        <v>633522</v>
      </c>
      <c r="F17" s="17">
        <v>84100</v>
      </c>
      <c r="G17" s="17">
        <v>15500</v>
      </c>
      <c r="H17" s="17">
        <v>67800</v>
      </c>
      <c r="I17" s="5">
        <v>48300</v>
      </c>
      <c r="J17" s="5">
        <v>47000</v>
      </c>
      <c r="K17" s="5">
        <v>45940</v>
      </c>
      <c r="L17" s="17">
        <v>37100</v>
      </c>
      <c r="M17" s="5">
        <v>56332</v>
      </c>
      <c r="N17" s="5">
        <v>41750</v>
      </c>
      <c r="O17" s="5">
        <v>23400</v>
      </c>
      <c r="P17" s="5">
        <v>101100</v>
      </c>
      <c r="Q17" s="21">
        <v>65200</v>
      </c>
      <c r="R17" s="20">
        <v>31000</v>
      </c>
      <c r="S17" s="17">
        <v>4800</v>
      </c>
      <c r="T17" s="17">
        <v>56000</v>
      </c>
      <c r="U17" s="17">
        <v>66700</v>
      </c>
      <c r="V17" s="5">
        <v>52600</v>
      </c>
      <c r="W17" s="5">
        <v>48800</v>
      </c>
      <c r="X17" s="5">
        <v>72900</v>
      </c>
      <c r="Y17" s="5">
        <v>35900</v>
      </c>
      <c r="Z17" s="30">
        <v>83100</v>
      </c>
      <c r="AA17" s="5">
        <v>67900</v>
      </c>
      <c r="AB17" s="5"/>
      <c r="AC17" s="30"/>
      <c r="AD17" s="63"/>
      <c r="AE17" s="28">
        <f>SUM(R17:AC17)</f>
        <v>519700</v>
      </c>
      <c r="AG17" s="194" t="s">
        <v>90</v>
      </c>
      <c r="AH17" s="200">
        <f>E17</f>
        <v>633522</v>
      </c>
      <c r="AI17" s="200">
        <f>AE17</f>
        <v>519700</v>
      </c>
    </row>
    <row r="18" spans="2:35" ht="20.25" customHeight="1" x14ac:dyDescent="0.25">
      <c r="B18" s="139"/>
      <c r="C18" s="88" t="s">
        <v>51</v>
      </c>
      <c r="D18" s="7"/>
      <c r="E18" s="56">
        <f>IFERROR(E17/E16,"")</f>
        <v>5707.405405405405</v>
      </c>
      <c r="F18" s="18">
        <f t="shared" ref="F18" si="0">IFERROR(F17/F16,"")</f>
        <v>6007.1428571428569</v>
      </c>
      <c r="G18" s="18">
        <f t="shared" ref="G18:R18" si="1">IFERROR(G17/G16,"")</f>
        <v>3100</v>
      </c>
      <c r="H18" s="18">
        <f t="shared" si="1"/>
        <v>7533.333333333333</v>
      </c>
      <c r="I18" s="18">
        <f t="shared" si="1"/>
        <v>6037.5</v>
      </c>
      <c r="J18" s="18">
        <f t="shared" si="1"/>
        <v>4272.727272727273</v>
      </c>
      <c r="K18" s="18">
        <f t="shared" si="1"/>
        <v>6562.8571428571431</v>
      </c>
      <c r="L18" s="18">
        <f t="shared" si="1"/>
        <v>6183.333333333333</v>
      </c>
      <c r="M18" s="18">
        <f t="shared" si="1"/>
        <v>4694.333333333333</v>
      </c>
      <c r="N18" s="18">
        <f t="shared" si="1"/>
        <v>6958.333333333333</v>
      </c>
      <c r="O18" s="18">
        <f t="shared" si="1"/>
        <v>4680</v>
      </c>
      <c r="P18" s="18">
        <f t="shared" si="1"/>
        <v>5947.0588235294117</v>
      </c>
      <c r="Q18" s="26">
        <f t="shared" si="1"/>
        <v>5927.272727272727</v>
      </c>
      <c r="R18" s="22">
        <f t="shared" si="1"/>
        <v>7750</v>
      </c>
      <c r="S18" s="8">
        <f t="shared" ref="S18" si="2">IFERROR(S17/S16,"")</f>
        <v>2400</v>
      </c>
      <c r="T18" s="8">
        <f t="shared" ref="T18" si="3">IFERROR(T17/T16,"")</f>
        <v>6222.2222222222226</v>
      </c>
      <c r="U18" s="8">
        <f t="shared" ref="U18" si="4">IFERROR(U17/U16,"")</f>
        <v>8337.5</v>
      </c>
      <c r="V18" s="8">
        <f t="shared" ref="V18" si="5">IFERROR(V17/V16,"")</f>
        <v>7514.2857142857147</v>
      </c>
      <c r="W18" s="8">
        <f t="shared" ref="W18" si="6">IFERROR(W17/W16,"")</f>
        <v>5422.2222222222226</v>
      </c>
      <c r="X18" s="8">
        <f>IFERROR(X17/X16,"")</f>
        <v>7290</v>
      </c>
      <c r="Y18" s="8">
        <f t="shared" ref="Y18" si="7">IFERROR(Y17/Y16,"")</f>
        <v>5128.5714285714284</v>
      </c>
      <c r="Z18" s="8">
        <f t="shared" ref="Z18" si="8">IFERROR(Z17/Z16,"")</f>
        <v>7554.545454545455</v>
      </c>
      <c r="AA18" s="8">
        <f t="shared" ref="AA18" si="9">IFERROR(AA17/AA16,"")</f>
        <v>6790</v>
      </c>
      <c r="AB18" s="8" t="str">
        <f t="shared" ref="AB18" si="10">IFERROR(AB17/AB16,"")</f>
        <v/>
      </c>
      <c r="AC18" s="97" t="str">
        <f t="shared" ref="AC18" si="11">IFERROR(AC17/AC16,"")</f>
        <v/>
      </c>
      <c r="AD18" s="101"/>
      <c r="AE18" s="28">
        <f>IFERROR(AE17/AE16,"")</f>
        <v>6749.3506493506493</v>
      </c>
      <c r="AG18" s="197" t="s">
        <v>91</v>
      </c>
      <c r="AH18" s="201">
        <f>AH17/AH15</f>
        <v>8.5338919122797563E-2</v>
      </c>
      <c r="AI18" s="201">
        <f>AI17/AI15</f>
        <v>9.4297171266307406E-2</v>
      </c>
    </row>
    <row r="19" spans="2:35" ht="20.25" customHeight="1" thickBot="1" x14ac:dyDescent="0.3">
      <c r="B19" s="139"/>
      <c r="C19" s="88" t="s">
        <v>53</v>
      </c>
      <c r="D19" s="7"/>
      <c r="E19" s="137">
        <f>IFERROR(E17/E15,"")</f>
        <v>8.5338919122797563E-2</v>
      </c>
      <c r="F19" s="102">
        <f>IFERROR(F17/F15,"")</f>
        <v>6.1234891510120869E-2</v>
      </c>
      <c r="G19" s="102">
        <f>IFERROR(G17/G15,"")</f>
        <v>6.7245119305856832E-2</v>
      </c>
      <c r="H19" s="102">
        <f>IFERROR(H17/H15,"")</f>
        <v>0.11437246963562753</v>
      </c>
      <c r="I19" s="102">
        <f t="shared" ref="I19:Q19" si="12">IFERROR(I17/I15,"")</f>
        <v>0.11219512195121951</v>
      </c>
      <c r="J19" s="102">
        <f t="shared" si="12"/>
        <v>6.7133266676189116E-2</v>
      </c>
      <c r="K19" s="102">
        <f t="shared" si="12"/>
        <v>9.4624098867147274E-2</v>
      </c>
      <c r="L19" s="102">
        <f t="shared" si="12"/>
        <v>0.12584803256445048</v>
      </c>
      <c r="M19" s="102">
        <f t="shared" si="12"/>
        <v>0.11799748638458316</v>
      </c>
      <c r="N19" s="102">
        <f t="shared" si="12"/>
        <v>0.10225324516287043</v>
      </c>
      <c r="O19" s="102">
        <f t="shared" si="12"/>
        <v>3.9195979899497489E-2</v>
      </c>
      <c r="P19" s="102">
        <f t="shared" si="12"/>
        <v>8.5453469698250364E-2</v>
      </c>
      <c r="Q19" s="103">
        <f t="shared" si="12"/>
        <v>0.10027683789603199</v>
      </c>
      <c r="R19" s="104">
        <f t="shared" ref="R19" si="13">IFERROR(R17/R15,"")</f>
        <v>0.13537117903930132</v>
      </c>
      <c r="S19" s="105">
        <f t="shared" ref="S19:AC19" si="14">IFERROR(S17/S15,"")</f>
        <v>2.5862068965517241E-2</v>
      </c>
      <c r="T19" s="105">
        <f t="shared" si="14"/>
        <v>5.7212913771965669E-2</v>
      </c>
      <c r="U19" s="105">
        <f t="shared" si="14"/>
        <v>6.9515372589890573E-2</v>
      </c>
      <c r="V19" s="105">
        <f t="shared" si="14"/>
        <v>0.12033859528711965</v>
      </c>
      <c r="W19" s="105">
        <f t="shared" si="14"/>
        <v>0.15408904325860437</v>
      </c>
      <c r="X19" s="105">
        <f t="shared" si="14"/>
        <v>8.8374348405867373E-2</v>
      </c>
      <c r="Y19" s="105">
        <f t="shared" si="14"/>
        <v>6.1736887360275147E-2</v>
      </c>
      <c r="Z19" s="105">
        <f t="shared" si="14"/>
        <v>0.14815475129256553</v>
      </c>
      <c r="AA19" s="105">
        <f t="shared" si="14"/>
        <v>0.15527098101989481</v>
      </c>
      <c r="AB19" s="105" t="str">
        <f t="shared" si="14"/>
        <v/>
      </c>
      <c r="AC19" s="106" t="str">
        <f t="shared" si="14"/>
        <v/>
      </c>
      <c r="AD19" s="107"/>
      <c r="AE19" s="132">
        <f>IFERROR(AE17/AE15,"")</f>
        <v>9.4297171266307406E-2</v>
      </c>
      <c r="AG19" s="192"/>
      <c r="AH19" s="192"/>
      <c r="AI19" s="192"/>
    </row>
    <row r="20" spans="2:35" ht="20.25" customHeight="1" x14ac:dyDescent="0.25">
      <c r="B20" s="187" t="s">
        <v>82</v>
      </c>
      <c r="C20" s="89" t="s">
        <v>47</v>
      </c>
      <c r="D20" s="45">
        <v>0.1</v>
      </c>
      <c r="E20" s="59">
        <f>SUM(F20:Q20)</f>
        <v>0</v>
      </c>
      <c r="F20" s="55"/>
      <c r="G20" s="46"/>
      <c r="H20" s="46"/>
      <c r="I20" s="46"/>
      <c r="J20" s="46"/>
      <c r="K20" s="46"/>
      <c r="L20" s="55"/>
      <c r="M20" s="46"/>
      <c r="N20" s="46"/>
      <c r="O20" s="46"/>
      <c r="P20" s="46"/>
      <c r="Q20" s="47"/>
      <c r="R20" s="55">
        <v>34500</v>
      </c>
      <c r="S20" s="46">
        <v>0</v>
      </c>
      <c r="T20" s="46">
        <v>686000</v>
      </c>
      <c r="U20" s="46">
        <v>24800</v>
      </c>
      <c r="V20" s="46">
        <v>0</v>
      </c>
      <c r="W20" s="46">
        <v>35000</v>
      </c>
      <c r="X20" s="55">
        <v>338000</v>
      </c>
      <c r="Y20" s="46">
        <v>0</v>
      </c>
      <c r="Z20" s="46">
        <v>0</v>
      </c>
      <c r="AA20" s="46">
        <v>0</v>
      </c>
      <c r="AB20" s="46"/>
      <c r="AC20" s="48"/>
      <c r="AD20" s="84"/>
      <c r="AE20" s="49">
        <f>SUM(R20:AC20)</f>
        <v>1118300</v>
      </c>
      <c r="AG20" s="194" t="s">
        <v>92</v>
      </c>
      <c r="AH20" s="200">
        <f>E20+E25+E30</f>
        <v>3445800</v>
      </c>
      <c r="AI20" s="200">
        <f>AE20+AE25+AE30</f>
        <v>6889294</v>
      </c>
    </row>
    <row r="21" spans="2:35" ht="20.25" customHeight="1" x14ac:dyDescent="0.25">
      <c r="B21" s="139"/>
      <c r="C21" s="90" t="s">
        <v>48</v>
      </c>
      <c r="D21" s="6"/>
      <c r="E21" s="56">
        <f>SUM(F21:Q21)</f>
        <v>0</v>
      </c>
      <c r="F21" s="17"/>
      <c r="G21" s="5"/>
      <c r="H21" s="5"/>
      <c r="I21" s="5"/>
      <c r="J21" s="5"/>
      <c r="K21" s="5"/>
      <c r="L21" s="17"/>
      <c r="M21" s="5"/>
      <c r="N21" s="5"/>
      <c r="O21" s="5"/>
      <c r="P21" s="5"/>
      <c r="Q21" s="21"/>
      <c r="R21" s="17">
        <v>1</v>
      </c>
      <c r="S21" s="5">
        <v>0</v>
      </c>
      <c r="T21" s="5">
        <v>4</v>
      </c>
      <c r="U21" s="5">
        <v>1</v>
      </c>
      <c r="V21" s="5">
        <v>0</v>
      </c>
      <c r="W21" s="5">
        <v>1</v>
      </c>
      <c r="X21" s="17">
        <v>1</v>
      </c>
      <c r="Y21" s="5">
        <v>0</v>
      </c>
      <c r="Z21" s="5">
        <v>0</v>
      </c>
      <c r="AA21" s="5">
        <v>0</v>
      </c>
      <c r="AB21" s="5"/>
      <c r="AC21" s="30"/>
      <c r="AD21" s="85"/>
      <c r="AE21" s="28">
        <f>SUM(R21:AC21)</f>
        <v>8</v>
      </c>
      <c r="AG21" s="195" t="s">
        <v>93</v>
      </c>
      <c r="AH21" s="200">
        <f>E21+E26+E31</f>
        <v>13</v>
      </c>
      <c r="AI21" s="200">
        <f>AE21+AE26+AE31</f>
        <v>26</v>
      </c>
    </row>
    <row r="22" spans="2:35" ht="20.25" customHeight="1" x14ac:dyDescent="0.25">
      <c r="B22" s="139"/>
      <c r="C22" s="90" t="s">
        <v>50</v>
      </c>
      <c r="D22" s="6"/>
      <c r="E22" s="57">
        <f>SUM(F22:Q22)</f>
        <v>0</v>
      </c>
      <c r="F22" s="17"/>
      <c r="G22" s="5"/>
      <c r="H22" s="5"/>
      <c r="I22" s="5"/>
      <c r="J22" s="5"/>
      <c r="K22" s="5"/>
      <c r="L22" s="17"/>
      <c r="M22" s="5"/>
      <c r="N22" s="5"/>
      <c r="O22" s="5"/>
      <c r="P22" s="5"/>
      <c r="Q22" s="21"/>
      <c r="R22" s="17">
        <v>4500</v>
      </c>
      <c r="S22" s="5">
        <v>0</v>
      </c>
      <c r="T22" s="5">
        <v>35200</v>
      </c>
      <c r="U22" s="5">
        <v>6800</v>
      </c>
      <c r="V22" s="5">
        <v>0</v>
      </c>
      <c r="W22" s="5">
        <v>5000</v>
      </c>
      <c r="X22" s="17">
        <v>3000</v>
      </c>
      <c r="Y22" s="5"/>
      <c r="Z22" s="5">
        <v>0</v>
      </c>
      <c r="AA22" s="5">
        <v>0</v>
      </c>
      <c r="AB22" s="5"/>
      <c r="AC22" s="30"/>
      <c r="AD22" s="85"/>
      <c r="AE22" s="28">
        <f>SUM(R22:AC22)</f>
        <v>54500</v>
      </c>
      <c r="AG22" s="194" t="s">
        <v>94</v>
      </c>
      <c r="AH22" s="200">
        <f>E22+E27+E32</f>
        <v>301630</v>
      </c>
      <c r="AI22" s="200">
        <f>AE22+AE27+AE32</f>
        <v>516557</v>
      </c>
    </row>
    <row r="23" spans="2:35" ht="20.25" customHeight="1" x14ac:dyDescent="0.25">
      <c r="B23" s="139"/>
      <c r="C23" s="88" t="s">
        <v>52</v>
      </c>
      <c r="D23" s="7"/>
      <c r="E23" s="56" t="str">
        <f>IFERROR(E22/E21,"")</f>
        <v/>
      </c>
      <c r="F23" s="94"/>
      <c r="G23" s="94" t="str">
        <f t="shared" ref="G23:AC23" si="15">IFERROR(G22/G21,"")</f>
        <v/>
      </c>
      <c r="H23" s="94" t="str">
        <f t="shared" si="15"/>
        <v/>
      </c>
      <c r="I23" s="94" t="str">
        <f t="shared" si="15"/>
        <v/>
      </c>
      <c r="J23" s="94" t="str">
        <f t="shared" si="15"/>
        <v/>
      </c>
      <c r="K23" s="94" t="str">
        <f t="shared" si="15"/>
        <v/>
      </c>
      <c r="L23" s="94" t="str">
        <f t="shared" si="15"/>
        <v/>
      </c>
      <c r="M23" s="94" t="str">
        <f t="shared" si="15"/>
        <v/>
      </c>
      <c r="N23" s="94" t="str">
        <f t="shared" si="15"/>
        <v/>
      </c>
      <c r="O23" s="94" t="str">
        <f t="shared" si="15"/>
        <v/>
      </c>
      <c r="P23" s="94" t="str">
        <f t="shared" si="15"/>
        <v/>
      </c>
      <c r="Q23" s="95" t="str">
        <f t="shared" si="15"/>
        <v/>
      </c>
      <c r="R23" s="98">
        <f t="shared" si="15"/>
        <v>4500</v>
      </c>
      <c r="S23" s="99" t="str">
        <f t="shared" si="15"/>
        <v/>
      </c>
      <c r="T23" s="99">
        <f t="shared" si="15"/>
        <v>8800</v>
      </c>
      <c r="U23" s="99">
        <f t="shared" si="15"/>
        <v>6800</v>
      </c>
      <c r="V23" s="99" t="str">
        <f t="shared" si="15"/>
        <v/>
      </c>
      <c r="W23" s="99">
        <f t="shared" si="15"/>
        <v>5000</v>
      </c>
      <c r="X23" s="99">
        <f t="shared" si="15"/>
        <v>3000</v>
      </c>
      <c r="Y23" s="99" t="str">
        <f t="shared" si="15"/>
        <v/>
      </c>
      <c r="Z23" s="99" t="str">
        <f t="shared" si="15"/>
        <v/>
      </c>
      <c r="AA23" s="99" t="str">
        <f t="shared" si="15"/>
        <v/>
      </c>
      <c r="AB23" s="99" t="str">
        <f t="shared" si="15"/>
        <v/>
      </c>
      <c r="AC23" s="100" t="str">
        <f t="shared" si="15"/>
        <v/>
      </c>
      <c r="AD23" s="96"/>
      <c r="AE23" s="27">
        <f>IFERROR(AE22/AE21,"")</f>
        <v>6812.5</v>
      </c>
      <c r="AG23" s="197" t="s">
        <v>95</v>
      </c>
      <c r="AH23" s="201">
        <f>AH22/AH20</f>
        <v>8.7535550525277145E-2</v>
      </c>
      <c r="AI23" s="201">
        <f>AI22/AI20</f>
        <v>7.49796713567457E-2</v>
      </c>
    </row>
    <row r="24" spans="2:35" ht="20.25" customHeight="1" thickBot="1" x14ac:dyDescent="0.3">
      <c r="B24" s="140"/>
      <c r="C24" s="91" t="s">
        <v>54</v>
      </c>
      <c r="D24" s="51"/>
      <c r="E24" s="136" t="str">
        <f>IFERROR(E22/E20,"")</f>
        <v/>
      </c>
      <c r="F24" s="108"/>
      <c r="G24" s="108" t="str">
        <f t="shared" ref="G24:AC24" si="16">IFERROR(G22/G20,"")</f>
        <v/>
      </c>
      <c r="H24" s="108" t="str">
        <f t="shared" si="16"/>
        <v/>
      </c>
      <c r="I24" s="108" t="str">
        <f t="shared" si="16"/>
        <v/>
      </c>
      <c r="J24" s="108" t="str">
        <f t="shared" si="16"/>
        <v/>
      </c>
      <c r="K24" s="108" t="str">
        <f t="shared" si="16"/>
        <v/>
      </c>
      <c r="L24" s="108" t="str">
        <f t="shared" si="16"/>
        <v/>
      </c>
      <c r="M24" s="108" t="str">
        <f t="shared" si="16"/>
        <v/>
      </c>
      <c r="N24" s="108" t="str">
        <f t="shared" si="16"/>
        <v/>
      </c>
      <c r="O24" s="108" t="str">
        <f t="shared" si="16"/>
        <v/>
      </c>
      <c r="P24" s="108" t="str">
        <f t="shared" si="16"/>
        <v/>
      </c>
      <c r="Q24" s="109" t="str">
        <f t="shared" si="16"/>
        <v/>
      </c>
      <c r="R24" s="104">
        <f t="shared" si="16"/>
        <v>0.13043478260869565</v>
      </c>
      <c r="S24" s="105" t="str">
        <f t="shared" si="16"/>
        <v/>
      </c>
      <c r="T24" s="105">
        <f t="shared" si="16"/>
        <v>5.1311953352769682E-2</v>
      </c>
      <c r="U24" s="105">
        <f t="shared" si="16"/>
        <v>0.27419354838709675</v>
      </c>
      <c r="V24" s="105" t="str">
        <f t="shared" si="16"/>
        <v/>
      </c>
      <c r="W24" s="105">
        <f t="shared" si="16"/>
        <v>0.14285714285714285</v>
      </c>
      <c r="X24" s="105">
        <f t="shared" si="16"/>
        <v>8.8757396449704144E-3</v>
      </c>
      <c r="Y24" s="105" t="str">
        <f t="shared" si="16"/>
        <v/>
      </c>
      <c r="Z24" s="105" t="str">
        <f t="shared" si="16"/>
        <v/>
      </c>
      <c r="AA24" s="105" t="str">
        <f t="shared" si="16"/>
        <v/>
      </c>
      <c r="AB24" s="105" t="str">
        <f t="shared" si="16"/>
        <v/>
      </c>
      <c r="AC24" s="106" t="str">
        <f t="shared" si="16"/>
        <v/>
      </c>
      <c r="AD24" s="110"/>
      <c r="AE24" s="133">
        <f>IFERROR(AE22/AE20,"")</f>
        <v>4.8734686577841364E-2</v>
      </c>
    </row>
    <row r="25" spans="2:35" ht="20.25" customHeight="1" x14ac:dyDescent="0.25">
      <c r="B25" s="187" t="s">
        <v>81</v>
      </c>
      <c r="C25" s="89" t="s">
        <v>47</v>
      </c>
      <c r="D25" s="45">
        <v>0.1</v>
      </c>
      <c r="E25" s="59">
        <f>SUM(F25:Q25)</f>
        <v>0</v>
      </c>
      <c r="F25" s="55"/>
      <c r="G25" s="46"/>
      <c r="H25" s="46"/>
      <c r="I25" s="46"/>
      <c r="J25" s="46"/>
      <c r="K25" s="46"/>
      <c r="L25" s="55"/>
      <c r="M25" s="46"/>
      <c r="N25" s="46"/>
      <c r="O25" s="46"/>
      <c r="P25" s="46"/>
      <c r="Q25" s="47"/>
      <c r="R25" s="55">
        <v>0</v>
      </c>
      <c r="S25" s="46">
        <v>0</v>
      </c>
      <c r="T25" s="46">
        <v>0</v>
      </c>
      <c r="U25" s="46">
        <v>177000</v>
      </c>
      <c r="V25" s="46">
        <v>329800</v>
      </c>
      <c r="W25" s="46">
        <v>0</v>
      </c>
      <c r="X25" s="55">
        <v>0</v>
      </c>
      <c r="Y25" s="46">
        <v>208000</v>
      </c>
      <c r="Z25" s="46">
        <v>0</v>
      </c>
      <c r="AA25" s="46">
        <v>0</v>
      </c>
      <c r="AB25" s="46"/>
      <c r="AC25" s="48"/>
      <c r="AD25" s="84"/>
      <c r="AE25" s="49">
        <f>SUM(R25:AC25)</f>
        <v>714800</v>
      </c>
      <c r="AG25" s="195" t="s">
        <v>96</v>
      </c>
      <c r="AH25" s="202">
        <f>E21/AH21</f>
        <v>0</v>
      </c>
      <c r="AI25" s="202">
        <f>AE21/AI21</f>
        <v>0.30769230769230771</v>
      </c>
    </row>
    <row r="26" spans="2:35" ht="20.25" customHeight="1" x14ac:dyDescent="0.25">
      <c r="B26" s="139"/>
      <c r="C26" s="90" t="s">
        <v>48</v>
      </c>
      <c r="D26" s="6"/>
      <c r="E26" s="56">
        <f>SUM(F26:Q26)</f>
        <v>0</v>
      </c>
      <c r="F26" s="17"/>
      <c r="G26" s="5"/>
      <c r="H26" s="5"/>
      <c r="I26" s="5"/>
      <c r="J26" s="5"/>
      <c r="K26" s="5"/>
      <c r="L26" s="17"/>
      <c r="M26" s="5"/>
      <c r="N26" s="5"/>
      <c r="O26" s="5"/>
      <c r="P26" s="5"/>
      <c r="Q26" s="21"/>
      <c r="R26" s="17">
        <v>0</v>
      </c>
      <c r="S26" s="5">
        <v>0</v>
      </c>
      <c r="T26" s="5">
        <v>0</v>
      </c>
      <c r="U26" s="5">
        <v>1</v>
      </c>
      <c r="V26" s="5">
        <v>2</v>
      </c>
      <c r="W26" s="5">
        <v>0</v>
      </c>
      <c r="X26" s="17">
        <v>0</v>
      </c>
      <c r="Y26" s="5">
        <v>1</v>
      </c>
      <c r="Z26" s="5">
        <v>0</v>
      </c>
      <c r="AA26" s="5">
        <v>0</v>
      </c>
      <c r="AB26" s="5"/>
      <c r="AC26" s="30"/>
      <c r="AD26" s="85"/>
      <c r="AE26" s="28">
        <f>SUM(R26:AC26)</f>
        <v>4</v>
      </c>
      <c r="AG26" s="195" t="s">
        <v>97</v>
      </c>
      <c r="AH26" s="202">
        <f>E26/AH21</f>
        <v>0</v>
      </c>
      <c r="AI26" s="202">
        <f>AE26/AI21</f>
        <v>0.15384615384615385</v>
      </c>
    </row>
    <row r="27" spans="2:35" ht="20.25" customHeight="1" x14ac:dyDescent="0.25">
      <c r="B27" s="139"/>
      <c r="C27" s="90" t="s">
        <v>50</v>
      </c>
      <c r="D27" s="6"/>
      <c r="E27" s="57">
        <f>SUM(F27:Q27)</f>
        <v>0</v>
      </c>
      <c r="F27" s="17"/>
      <c r="G27" s="5"/>
      <c r="H27" s="5"/>
      <c r="I27" s="5"/>
      <c r="J27" s="5"/>
      <c r="K27" s="5"/>
      <c r="L27" s="17"/>
      <c r="M27" s="5"/>
      <c r="N27" s="5"/>
      <c r="O27" s="5"/>
      <c r="P27" s="5"/>
      <c r="Q27" s="21"/>
      <c r="R27" s="17">
        <v>0</v>
      </c>
      <c r="S27" s="5">
        <v>0</v>
      </c>
      <c r="T27" s="5">
        <v>0</v>
      </c>
      <c r="U27" s="5">
        <v>20200</v>
      </c>
      <c r="V27" s="5">
        <v>37520</v>
      </c>
      <c r="W27" s="5">
        <v>0</v>
      </c>
      <c r="X27" s="17">
        <v>0</v>
      </c>
      <c r="Y27" s="5">
        <v>28000</v>
      </c>
      <c r="Z27" s="5">
        <v>0</v>
      </c>
      <c r="AA27" s="5">
        <v>0</v>
      </c>
      <c r="AB27" s="5"/>
      <c r="AC27" s="30"/>
      <c r="AD27" s="85"/>
      <c r="AE27" s="28">
        <f>SUM(R27:AC27)</f>
        <v>85720</v>
      </c>
      <c r="AG27" s="195" t="s">
        <v>98</v>
      </c>
      <c r="AH27" s="202">
        <f>E31/AH21</f>
        <v>1</v>
      </c>
      <c r="AI27" s="202">
        <f>AE31/AI21</f>
        <v>0.53846153846153844</v>
      </c>
    </row>
    <row r="28" spans="2:35" ht="20.25" customHeight="1" x14ac:dyDescent="0.25">
      <c r="B28" s="139"/>
      <c r="C28" s="88" t="s">
        <v>52</v>
      </c>
      <c r="D28" s="7"/>
      <c r="E28" s="56" t="str">
        <f>IFERROR(E27/E26,"")</f>
        <v/>
      </c>
      <c r="F28" s="94"/>
      <c r="G28" s="94" t="str">
        <f t="shared" ref="G28:AC28" si="17">IFERROR(G27/G26,"")</f>
        <v/>
      </c>
      <c r="H28" s="94" t="str">
        <f t="shared" si="17"/>
        <v/>
      </c>
      <c r="I28" s="94" t="str">
        <f t="shared" si="17"/>
        <v/>
      </c>
      <c r="J28" s="94" t="str">
        <f t="shared" si="17"/>
        <v/>
      </c>
      <c r="K28" s="94" t="str">
        <f t="shared" si="17"/>
        <v/>
      </c>
      <c r="L28" s="94" t="str">
        <f t="shared" si="17"/>
        <v/>
      </c>
      <c r="M28" s="94" t="str">
        <f t="shared" si="17"/>
        <v/>
      </c>
      <c r="N28" s="94" t="str">
        <f t="shared" si="17"/>
        <v/>
      </c>
      <c r="O28" s="94" t="str">
        <f t="shared" si="17"/>
        <v/>
      </c>
      <c r="P28" s="94" t="str">
        <f t="shared" si="17"/>
        <v/>
      </c>
      <c r="Q28" s="95" t="str">
        <f t="shared" si="17"/>
        <v/>
      </c>
      <c r="R28" s="98" t="str">
        <f t="shared" si="17"/>
        <v/>
      </c>
      <c r="S28" s="99" t="str">
        <f t="shared" si="17"/>
        <v/>
      </c>
      <c r="T28" s="99" t="str">
        <f t="shared" si="17"/>
        <v/>
      </c>
      <c r="U28" s="99">
        <f t="shared" si="17"/>
        <v>20200</v>
      </c>
      <c r="V28" s="99">
        <f t="shared" si="17"/>
        <v>18760</v>
      </c>
      <c r="W28" s="99" t="str">
        <f t="shared" si="17"/>
        <v/>
      </c>
      <c r="X28" s="99" t="str">
        <f t="shared" si="17"/>
        <v/>
      </c>
      <c r="Y28" s="99">
        <f t="shared" si="17"/>
        <v>28000</v>
      </c>
      <c r="Z28" s="99" t="str">
        <f t="shared" si="17"/>
        <v/>
      </c>
      <c r="AA28" s="99" t="str">
        <f t="shared" si="17"/>
        <v/>
      </c>
      <c r="AB28" s="99" t="str">
        <f t="shared" si="17"/>
        <v/>
      </c>
      <c r="AC28" s="100" t="str">
        <f t="shared" si="17"/>
        <v/>
      </c>
      <c r="AD28" s="96"/>
      <c r="AE28" s="27">
        <f>IFERROR(AE27/AE26,"")</f>
        <v>21430</v>
      </c>
    </row>
    <row r="29" spans="2:35" ht="20.25" customHeight="1" thickBot="1" x14ac:dyDescent="0.3">
      <c r="B29" s="140"/>
      <c r="C29" s="91" t="s">
        <v>54</v>
      </c>
      <c r="D29" s="51"/>
      <c r="E29" s="136" t="str">
        <f>IFERROR(E27/E25,"")</f>
        <v/>
      </c>
      <c r="F29" s="108"/>
      <c r="G29" s="108" t="str">
        <f t="shared" ref="G29:AC29" si="18">IFERROR(G27/G25,"")</f>
        <v/>
      </c>
      <c r="H29" s="108" t="str">
        <f t="shared" si="18"/>
        <v/>
      </c>
      <c r="I29" s="108" t="str">
        <f t="shared" si="18"/>
        <v/>
      </c>
      <c r="J29" s="108" t="str">
        <f t="shared" si="18"/>
        <v/>
      </c>
      <c r="K29" s="108" t="str">
        <f t="shared" si="18"/>
        <v/>
      </c>
      <c r="L29" s="108" t="str">
        <f t="shared" si="18"/>
        <v/>
      </c>
      <c r="M29" s="108" t="str">
        <f t="shared" si="18"/>
        <v/>
      </c>
      <c r="N29" s="108" t="str">
        <f t="shared" si="18"/>
        <v/>
      </c>
      <c r="O29" s="108" t="str">
        <f t="shared" si="18"/>
        <v/>
      </c>
      <c r="P29" s="108" t="str">
        <f t="shared" si="18"/>
        <v/>
      </c>
      <c r="Q29" s="109" t="str">
        <f t="shared" si="18"/>
        <v/>
      </c>
      <c r="R29" s="104" t="str">
        <f t="shared" si="18"/>
        <v/>
      </c>
      <c r="S29" s="105" t="str">
        <f t="shared" si="18"/>
        <v/>
      </c>
      <c r="T29" s="105" t="str">
        <f t="shared" si="18"/>
        <v/>
      </c>
      <c r="U29" s="105">
        <f t="shared" si="18"/>
        <v>0.11412429378531073</v>
      </c>
      <c r="V29" s="105">
        <f t="shared" si="18"/>
        <v>0.11376591873862947</v>
      </c>
      <c r="W29" s="105" t="str">
        <f t="shared" si="18"/>
        <v/>
      </c>
      <c r="X29" s="105" t="str">
        <f t="shared" si="18"/>
        <v/>
      </c>
      <c r="Y29" s="105">
        <f t="shared" si="18"/>
        <v>0.13461538461538461</v>
      </c>
      <c r="Z29" s="105" t="str">
        <f t="shared" si="18"/>
        <v/>
      </c>
      <c r="AA29" s="105" t="str">
        <f t="shared" si="18"/>
        <v/>
      </c>
      <c r="AB29" s="105" t="str">
        <f t="shared" si="18"/>
        <v/>
      </c>
      <c r="AC29" s="106" t="str">
        <f t="shared" si="18"/>
        <v/>
      </c>
      <c r="AD29" s="110"/>
      <c r="AE29" s="133">
        <f>IFERROR(AE27/AE25,"")</f>
        <v>0.11992165640738668</v>
      </c>
      <c r="AG29" s="195" t="s">
        <v>99</v>
      </c>
      <c r="AH29" s="202">
        <f>E22/AH22</f>
        <v>0</v>
      </c>
      <c r="AI29" s="202">
        <f>AE22/AI22</f>
        <v>0.10550626552345627</v>
      </c>
    </row>
    <row r="30" spans="2:35" ht="20.25" customHeight="1" x14ac:dyDescent="0.25">
      <c r="B30" s="187" t="s">
        <v>66</v>
      </c>
      <c r="C30" s="89" t="s">
        <v>47</v>
      </c>
      <c r="D30" s="45">
        <v>0.1</v>
      </c>
      <c r="E30" s="59">
        <f>SUM(F30:Q30)</f>
        <v>3445800</v>
      </c>
      <c r="F30" s="55"/>
      <c r="G30" s="46">
        <v>313000</v>
      </c>
      <c r="H30" s="46">
        <v>188000</v>
      </c>
      <c r="I30" s="46">
        <v>266000</v>
      </c>
      <c r="J30" s="46">
        <v>265000</v>
      </c>
      <c r="K30" s="46">
        <v>1128000</v>
      </c>
      <c r="L30" s="55">
        <v>296000</v>
      </c>
      <c r="M30" s="46">
        <v>250000</v>
      </c>
      <c r="N30" s="46">
        <v>235000</v>
      </c>
      <c r="O30" s="46"/>
      <c r="P30" s="46"/>
      <c r="Q30" s="47">
        <v>504800</v>
      </c>
      <c r="R30" s="55">
        <v>0</v>
      </c>
      <c r="S30" s="46">
        <v>0</v>
      </c>
      <c r="T30" s="46">
        <v>551594</v>
      </c>
      <c r="U30" s="46">
        <v>433800</v>
      </c>
      <c r="V30" s="46">
        <v>390000</v>
      </c>
      <c r="W30" s="46">
        <v>1121000</v>
      </c>
      <c r="X30" s="55">
        <v>385000</v>
      </c>
      <c r="Y30" s="46">
        <v>0</v>
      </c>
      <c r="Z30" s="46">
        <v>246000</v>
      </c>
      <c r="AA30" s="46">
        <v>1928800</v>
      </c>
      <c r="AB30" s="46"/>
      <c r="AC30" s="48"/>
      <c r="AD30" s="84"/>
      <c r="AE30" s="49">
        <f>SUM(R30:AC30)</f>
        <v>5056194</v>
      </c>
      <c r="AG30" s="195" t="s">
        <v>100</v>
      </c>
      <c r="AH30" s="202">
        <f>E27/AH22</f>
        <v>0</v>
      </c>
      <c r="AI30" s="202">
        <f>AE27/AI22</f>
        <v>0.16594490056276462</v>
      </c>
    </row>
    <row r="31" spans="2:35" ht="20.25" customHeight="1" x14ac:dyDescent="0.25">
      <c r="B31" s="139"/>
      <c r="C31" s="90" t="s">
        <v>48</v>
      </c>
      <c r="D31" s="6"/>
      <c r="E31" s="56">
        <f>SUM(F31:Q31)</f>
        <v>13</v>
      </c>
      <c r="F31" s="17"/>
      <c r="G31" s="5">
        <v>1</v>
      </c>
      <c r="H31" s="5">
        <v>1</v>
      </c>
      <c r="I31" s="5">
        <v>1</v>
      </c>
      <c r="J31" s="5">
        <v>1</v>
      </c>
      <c r="K31" s="5">
        <v>4</v>
      </c>
      <c r="L31" s="17">
        <v>1</v>
      </c>
      <c r="M31" s="5">
        <v>1</v>
      </c>
      <c r="N31" s="5">
        <v>1</v>
      </c>
      <c r="O31" s="5"/>
      <c r="P31" s="5"/>
      <c r="Q31" s="21">
        <v>2</v>
      </c>
      <c r="R31" s="17">
        <v>0</v>
      </c>
      <c r="S31" s="5">
        <v>0</v>
      </c>
      <c r="T31" s="5">
        <v>2</v>
      </c>
      <c r="U31" s="5">
        <v>1</v>
      </c>
      <c r="V31" s="5">
        <v>1</v>
      </c>
      <c r="W31" s="5">
        <v>3</v>
      </c>
      <c r="X31" s="17">
        <v>2</v>
      </c>
      <c r="Y31" s="5">
        <v>0</v>
      </c>
      <c r="Z31" s="5">
        <v>1</v>
      </c>
      <c r="AA31" s="5">
        <v>4</v>
      </c>
      <c r="AB31" s="5"/>
      <c r="AC31" s="30"/>
      <c r="AD31" s="85"/>
      <c r="AE31" s="28">
        <f>SUM(R31:AC31)</f>
        <v>14</v>
      </c>
      <c r="AG31" s="195" t="s">
        <v>101</v>
      </c>
      <c r="AH31" s="202">
        <f>E32/AH22</f>
        <v>1</v>
      </c>
      <c r="AI31" s="202">
        <f>AE32/AI22</f>
        <v>0.72854883391377911</v>
      </c>
    </row>
    <row r="32" spans="2:35" ht="20.25" customHeight="1" x14ac:dyDescent="0.25">
      <c r="B32" s="139"/>
      <c r="C32" s="90" t="s">
        <v>50</v>
      </c>
      <c r="D32" s="6"/>
      <c r="E32" s="57">
        <f>SUM(F32:Q32)</f>
        <v>301630</v>
      </c>
      <c r="F32" s="17"/>
      <c r="G32" s="5">
        <v>33000</v>
      </c>
      <c r="H32" s="5">
        <v>28000</v>
      </c>
      <c r="I32" s="5">
        <v>26000</v>
      </c>
      <c r="J32" s="5">
        <v>27000</v>
      </c>
      <c r="K32" s="5">
        <v>59630</v>
      </c>
      <c r="L32" s="17">
        <v>31000</v>
      </c>
      <c r="M32" s="5">
        <v>20000</v>
      </c>
      <c r="N32" s="5">
        <v>25000</v>
      </c>
      <c r="O32" s="5"/>
      <c r="P32" s="5"/>
      <c r="Q32" s="21">
        <v>52000</v>
      </c>
      <c r="R32" s="17">
        <v>0</v>
      </c>
      <c r="S32" s="5">
        <v>0</v>
      </c>
      <c r="T32" s="5">
        <v>71417</v>
      </c>
      <c r="U32" s="5">
        <v>34720</v>
      </c>
      <c r="V32" s="5">
        <v>39400</v>
      </c>
      <c r="W32" s="5">
        <v>101000</v>
      </c>
      <c r="X32" s="17">
        <v>31800</v>
      </c>
      <c r="Y32" s="5">
        <v>0</v>
      </c>
      <c r="Z32" s="5">
        <v>19200</v>
      </c>
      <c r="AA32" s="5">
        <v>78800</v>
      </c>
      <c r="AB32" s="5"/>
      <c r="AC32" s="30"/>
      <c r="AD32" s="85"/>
      <c r="AE32" s="28">
        <f>SUM(R32:AC32)</f>
        <v>376337</v>
      </c>
    </row>
    <row r="33" spans="2:38" ht="20.25" customHeight="1" x14ac:dyDescent="0.25">
      <c r="B33" s="139"/>
      <c r="C33" s="88" t="s">
        <v>52</v>
      </c>
      <c r="D33" s="7"/>
      <c r="E33" s="56">
        <f>IFERROR(E32/E31,"")</f>
        <v>23202.307692307691</v>
      </c>
      <c r="F33" s="94"/>
      <c r="G33" s="94">
        <f t="shared" ref="G33:R33" si="19">IFERROR(G32/G31,"")</f>
        <v>33000</v>
      </c>
      <c r="H33" s="94">
        <f t="shared" si="19"/>
        <v>28000</v>
      </c>
      <c r="I33" s="94">
        <f t="shared" si="19"/>
        <v>26000</v>
      </c>
      <c r="J33" s="94">
        <f t="shared" si="19"/>
        <v>27000</v>
      </c>
      <c r="K33" s="94">
        <f t="shared" si="19"/>
        <v>14907.5</v>
      </c>
      <c r="L33" s="94">
        <f t="shared" si="19"/>
        <v>31000</v>
      </c>
      <c r="M33" s="94">
        <f t="shared" si="19"/>
        <v>20000</v>
      </c>
      <c r="N33" s="94">
        <f t="shared" si="19"/>
        <v>25000</v>
      </c>
      <c r="O33" s="94" t="str">
        <f t="shared" si="19"/>
        <v/>
      </c>
      <c r="P33" s="94" t="str">
        <f t="shared" si="19"/>
        <v/>
      </c>
      <c r="Q33" s="95">
        <f t="shared" si="19"/>
        <v>26000</v>
      </c>
      <c r="R33" s="98" t="str">
        <f t="shared" si="19"/>
        <v/>
      </c>
      <c r="S33" s="99" t="str">
        <f t="shared" ref="S33" si="20">IFERROR(S32/S31,"")</f>
        <v/>
      </c>
      <c r="T33" s="99">
        <f t="shared" ref="T33" si="21">IFERROR(T32/T31,"")</f>
        <v>35708.5</v>
      </c>
      <c r="U33" s="99">
        <f t="shared" ref="U33" si="22">IFERROR(U32/U31,"")</f>
        <v>34720</v>
      </c>
      <c r="V33" s="99">
        <f t="shared" ref="V33" si="23">IFERROR(V32/V31,"")</f>
        <v>39400</v>
      </c>
      <c r="W33" s="99">
        <f t="shared" ref="W33" si="24">IFERROR(W32/W31,"")</f>
        <v>33666.666666666664</v>
      </c>
      <c r="X33" s="99">
        <f t="shared" ref="X33" si="25">IFERROR(X32/X31,"")</f>
        <v>15900</v>
      </c>
      <c r="Y33" s="99" t="str">
        <f t="shared" ref="Y33" si="26">IFERROR(Y32/Y31,"")</f>
        <v/>
      </c>
      <c r="Z33" s="99">
        <f t="shared" ref="Z33" si="27">IFERROR(Z32/Z31,"")</f>
        <v>19200</v>
      </c>
      <c r="AA33" s="99">
        <f t="shared" ref="AA33" si="28">IFERROR(AA32/AA31,"")</f>
        <v>19700</v>
      </c>
      <c r="AB33" s="99" t="str">
        <f t="shared" ref="AB33" si="29">IFERROR(AB32/AB31,"")</f>
        <v/>
      </c>
      <c r="AC33" s="100" t="str">
        <f t="shared" ref="AC33" si="30">IFERROR(AC32/AC31,"")</f>
        <v/>
      </c>
      <c r="AD33" s="96"/>
      <c r="AE33" s="27">
        <f>IFERROR(AE32/AE31,"")</f>
        <v>26881.214285714286</v>
      </c>
      <c r="AG33" s="196" t="s">
        <v>102</v>
      </c>
      <c r="AH33" s="200">
        <f>E39</f>
        <v>1990800</v>
      </c>
      <c r="AI33" s="200">
        <f>AE39</f>
        <v>6543600</v>
      </c>
    </row>
    <row r="34" spans="2:38" ht="20.25" customHeight="1" thickBot="1" x14ac:dyDescent="0.3">
      <c r="B34" s="140"/>
      <c r="C34" s="91" t="s">
        <v>54</v>
      </c>
      <c r="D34" s="51"/>
      <c r="E34" s="136">
        <f>IFERROR(E32/E30,"")</f>
        <v>8.7535550525277145E-2</v>
      </c>
      <c r="F34" s="108"/>
      <c r="G34" s="108">
        <f t="shared" ref="G34:Q34" si="31">IFERROR(G32/G30,"")</f>
        <v>0.10543130990415335</v>
      </c>
      <c r="H34" s="108">
        <f t="shared" si="31"/>
        <v>0.14893617021276595</v>
      </c>
      <c r="I34" s="108">
        <f t="shared" si="31"/>
        <v>9.7744360902255634E-2</v>
      </c>
      <c r="J34" s="108">
        <f t="shared" si="31"/>
        <v>0.10188679245283019</v>
      </c>
      <c r="K34" s="108">
        <f t="shared" si="31"/>
        <v>5.2863475177304962E-2</v>
      </c>
      <c r="L34" s="108">
        <f t="shared" si="31"/>
        <v>0.10472972972972973</v>
      </c>
      <c r="M34" s="108">
        <f t="shared" si="31"/>
        <v>0.08</v>
      </c>
      <c r="N34" s="108">
        <f t="shared" si="31"/>
        <v>0.10638297872340426</v>
      </c>
      <c r="O34" s="108" t="str">
        <f t="shared" si="31"/>
        <v/>
      </c>
      <c r="P34" s="108" t="str">
        <f t="shared" si="31"/>
        <v/>
      </c>
      <c r="Q34" s="109">
        <f t="shared" si="31"/>
        <v>0.10301109350237718</v>
      </c>
      <c r="R34" s="104" t="str">
        <f t="shared" ref="R34:AC34" si="32">IFERROR(R32/R30,"")</f>
        <v/>
      </c>
      <c r="S34" s="105" t="str">
        <f t="shared" si="32"/>
        <v/>
      </c>
      <c r="T34" s="105">
        <f t="shared" si="32"/>
        <v>0.12947385214487467</v>
      </c>
      <c r="U34" s="105">
        <f t="shared" si="32"/>
        <v>8.0036883356385424E-2</v>
      </c>
      <c r="V34" s="105">
        <f t="shared" si="32"/>
        <v>0.10102564102564103</v>
      </c>
      <c r="W34" s="105">
        <f t="shared" si="32"/>
        <v>9.0098126672613743E-2</v>
      </c>
      <c r="X34" s="105">
        <f t="shared" si="32"/>
        <v>8.25974025974026E-2</v>
      </c>
      <c r="Y34" s="105" t="str">
        <f t="shared" si="32"/>
        <v/>
      </c>
      <c r="Z34" s="105">
        <f t="shared" si="32"/>
        <v>7.8048780487804878E-2</v>
      </c>
      <c r="AA34" s="105">
        <f t="shared" si="32"/>
        <v>4.0854417254251346E-2</v>
      </c>
      <c r="AB34" s="105" t="str">
        <f t="shared" si="32"/>
        <v/>
      </c>
      <c r="AC34" s="106" t="str">
        <f t="shared" si="32"/>
        <v/>
      </c>
      <c r="AD34" s="110"/>
      <c r="AE34" s="133">
        <f>IFERROR(AE32/AE30,"")</f>
        <v>7.4430886156662504E-2</v>
      </c>
      <c r="AG34" s="196" t="s">
        <v>103</v>
      </c>
      <c r="AH34" s="203">
        <f>E38</f>
        <v>0.72222222222222221</v>
      </c>
      <c r="AI34" s="203">
        <f>AE38</f>
        <v>0.3783783783783784</v>
      </c>
    </row>
    <row r="35" spans="2:38" ht="21" customHeight="1" x14ac:dyDescent="0.25">
      <c r="B35" s="187" t="s">
        <v>83</v>
      </c>
      <c r="C35" s="89" t="s">
        <v>55</v>
      </c>
      <c r="D35" s="45"/>
      <c r="E35" s="59">
        <f>SUM(F35:Q35)</f>
        <v>8</v>
      </c>
      <c r="F35" s="55"/>
      <c r="G35" s="46"/>
      <c r="H35" s="46"/>
      <c r="I35" s="46">
        <v>1</v>
      </c>
      <c r="J35" s="46">
        <v>1</v>
      </c>
      <c r="K35" s="46">
        <v>2</v>
      </c>
      <c r="L35" s="55"/>
      <c r="M35" s="46">
        <v>1</v>
      </c>
      <c r="N35" s="46">
        <v>1</v>
      </c>
      <c r="O35" s="46"/>
      <c r="P35" s="46"/>
      <c r="Q35" s="47">
        <v>2</v>
      </c>
      <c r="R35" s="55">
        <v>2</v>
      </c>
      <c r="S35" s="46">
        <v>1</v>
      </c>
      <c r="T35" s="46">
        <v>1</v>
      </c>
      <c r="U35" s="46">
        <v>4</v>
      </c>
      <c r="V35" s="46">
        <v>1</v>
      </c>
      <c r="W35" s="46">
        <v>2</v>
      </c>
      <c r="X35" s="55">
        <v>1</v>
      </c>
      <c r="Y35" s="46">
        <v>0</v>
      </c>
      <c r="Z35" s="46">
        <v>3</v>
      </c>
      <c r="AA35" s="46">
        <v>5</v>
      </c>
      <c r="AB35" s="46"/>
      <c r="AC35" s="48"/>
      <c r="AD35" s="84"/>
      <c r="AE35" s="49">
        <f>SUM(R35:AC35)</f>
        <v>20</v>
      </c>
      <c r="AG35" s="196" t="s">
        <v>104</v>
      </c>
      <c r="AH35" s="204">
        <f>30*AH34</f>
        <v>21.666666666666668</v>
      </c>
      <c r="AI35" s="204">
        <f>30*AI34</f>
        <v>11.351351351351353</v>
      </c>
    </row>
    <row r="36" spans="2:38" ht="20.25" customHeight="1" x14ac:dyDescent="0.25">
      <c r="B36" s="139"/>
      <c r="C36" s="90" t="s">
        <v>56</v>
      </c>
      <c r="D36" s="6"/>
      <c r="E36" s="56">
        <f>SUM(F36:Q36)</f>
        <v>10</v>
      </c>
      <c r="F36" s="17"/>
      <c r="G36" s="5">
        <v>1</v>
      </c>
      <c r="H36" s="5">
        <v>2</v>
      </c>
      <c r="I36" s="5">
        <v>1</v>
      </c>
      <c r="J36" s="5">
        <v>1</v>
      </c>
      <c r="K36" s="5"/>
      <c r="L36" s="17">
        <v>2</v>
      </c>
      <c r="M36" s="5">
        <v>1</v>
      </c>
      <c r="N36" s="5"/>
      <c r="O36" s="5"/>
      <c r="P36" s="5">
        <v>2</v>
      </c>
      <c r="Q36" s="21"/>
      <c r="R36" s="17">
        <v>1</v>
      </c>
      <c r="S36" s="5"/>
      <c r="T36" s="5">
        <v>3</v>
      </c>
      <c r="U36" s="5">
        <v>1</v>
      </c>
      <c r="V36" s="5">
        <v>4</v>
      </c>
      <c r="W36" s="5">
        <v>2</v>
      </c>
      <c r="X36" s="17">
        <v>1</v>
      </c>
      <c r="Y36" s="5">
        <v>4</v>
      </c>
      <c r="Z36" s="5">
        <v>1</v>
      </c>
      <c r="AA36" s="5">
        <v>0</v>
      </c>
      <c r="AB36" s="5"/>
      <c r="AC36" s="30"/>
      <c r="AD36" s="85"/>
      <c r="AE36" s="28">
        <f>SUM(R36:AC36)</f>
        <v>17</v>
      </c>
    </row>
    <row r="37" spans="2:38" ht="20.25" customHeight="1" x14ac:dyDescent="0.25">
      <c r="B37" s="139"/>
      <c r="C37" s="90" t="s">
        <v>57</v>
      </c>
      <c r="D37" s="6"/>
      <c r="E37" s="57">
        <f>SUM(F37:Q37)</f>
        <v>0</v>
      </c>
      <c r="F37" s="17"/>
      <c r="G37" s="5"/>
      <c r="H37" s="5"/>
      <c r="I37" s="5"/>
      <c r="J37" s="5"/>
      <c r="K37" s="5"/>
      <c r="L37" s="17"/>
      <c r="M37" s="5"/>
      <c r="N37" s="5"/>
      <c r="O37" s="5"/>
      <c r="P37" s="5"/>
      <c r="Q37" s="21"/>
      <c r="R37" s="17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17">
        <v>0</v>
      </c>
      <c r="Y37" s="5">
        <v>0</v>
      </c>
      <c r="Z37" s="5">
        <v>0</v>
      </c>
      <c r="AA37" s="5">
        <v>0</v>
      </c>
      <c r="AB37" s="5"/>
      <c r="AC37" s="30"/>
      <c r="AD37" s="85"/>
      <c r="AE37" s="28">
        <f>SUM(R37:AC37)</f>
        <v>0</v>
      </c>
      <c r="AG37" s="192"/>
      <c r="AH37" s="206" t="s">
        <v>105</v>
      </c>
      <c r="AI37" s="207" t="s">
        <v>106</v>
      </c>
    </row>
    <row r="38" spans="2:38" ht="20.25" customHeight="1" x14ac:dyDescent="0.25">
      <c r="B38" s="139"/>
      <c r="C38" s="92" t="s">
        <v>58</v>
      </c>
      <c r="D38" s="7"/>
      <c r="E38" s="135">
        <f>IFERROR(E31/(E35+E36+E37),"")</f>
        <v>0.72222222222222221</v>
      </c>
      <c r="F38" s="111" t="str">
        <f>IFERROR(F31/(F35+F36+F37),"")</f>
        <v/>
      </c>
      <c r="G38" s="111">
        <f t="shared" ref="G38:R38" si="33">IFERROR(G31/(G35+G36+G37),"")</f>
        <v>1</v>
      </c>
      <c r="H38" s="111">
        <f t="shared" si="33"/>
        <v>0.5</v>
      </c>
      <c r="I38" s="111">
        <f t="shared" si="33"/>
        <v>0.5</v>
      </c>
      <c r="J38" s="111">
        <f t="shared" si="33"/>
        <v>0.5</v>
      </c>
      <c r="K38" s="111">
        <f t="shared" si="33"/>
        <v>2</v>
      </c>
      <c r="L38" s="111">
        <f t="shared" si="33"/>
        <v>0.5</v>
      </c>
      <c r="M38" s="111">
        <f t="shared" si="33"/>
        <v>0.5</v>
      </c>
      <c r="N38" s="111">
        <f t="shared" si="33"/>
        <v>1</v>
      </c>
      <c r="O38" s="111" t="str">
        <f t="shared" si="33"/>
        <v/>
      </c>
      <c r="P38" s="111">
        <f t="shared" si="33"/>
        <v>0</v>
      </c>
      <c r="Q38" s="112">
        <f t="shared" si="33"/>
        <v>1</v>
      </c>
      <c r="R38" s="113">
        <f t="shared" si="33"/>
        <v>0</v>
      </c>
      <c r="S38" s="114">
        <f t="shared" ref="S38" si="34">IFERROR(S31/(S35+S36+S37),"")</f>
        <v>0</v>
      </c>
      <c r="T38" s="114">
        <f t="shared" ref="T38" si="35">IFERROR(T31/(T35+T36+T37),"")</f>
        <v>0.5</v>
      </c>
      <c r="U38" s="114">
        <f t="shared" ref="U38" si="36">IFERROR(U31/(U35+U36+U37),"")</f>
        <v>0.2</v>
      </c>
      <c r="V38" s="114">
        <f t="shared" ref="V38" si="37">IFERROR(V31/(V35+V36+V37),"")</f>
        <v>0.2</v>
      </c>
      <c r="W38" s="114">
        <f t="shared" ref="W38" si="38">IFERROR(W31/(W35+W36+W37),"")</f>
        <v>0.75</v>
      </c>
      <c r="X38" s="114">
        <f t="shared" ref="X38" si="39">IFERROR(X31/(X35+X36+X37),"")</f>
        <v>1</v>
      </c>
      <c r="Y38" s="114">
        <f t="shared" ref="Y38" si="40">IFERROR(Y31/(Y35+Y36+Y37),"")</f>
        <v>0</v>
      </c>
      <c r="Z38" s="114">
        <f t="shared" ref="Z38" si="41">IFERROR(Z31/(Z35+Z36+Z37),"")</f>
        <v>0.25</v>
      </c>
      <c r="AA38" s="114">
        <f t="shared" ref="AA38" si="42">IFERROR(AA31/(AA35+AA36+AA37),"")</f>
        <v>0.8</v>
      </c>
      <c r="AB38" s="114" t="str">
        <f t="shared" ref="AB38" si="43">IFERROR(AB31/(AB35+AB36+AB37),"")</f>
        <v/>
      </c>
      <c r="AC38" s="115" t="str">
        <f t="shared" ref="AC38" si="44">IFERROR(AC31/(AC35+AC36+AC37),"")</f>
        <v/>
      </c>
      <c r="AD38" s="116"/>
      <c r="AE38" s="134">
        <f>IFERROR(AE31/(AE35+AE36+AE37),"")</f>
        <v>0.3783783783783784</v>
      </c>
      <c r="AG38" s="205" t="s">
        <v>111</v>
      </c>
      <c r="AH38" s="209">
        <v>179</v>
      </c>
      <c r="AI38" s="217">
        <f>(AI16+AI21)</f>
        <v>103</v>
      </c>
      <c r="AJ38" s="214">
        <f>ABS(AH38-AI38)</f>
        <v>76</v>
      </c>
      <c r="AK38" s="193"/>
      <c r="AL38" s="213"/>
    </row>
    <row r="39" spans="2:38" ht="20.25" customHeight="1" thickBot="1" x14ac:dyDescent="0.3">
      <c r="B39" s="140"/>
      <c r="C39" s="93" t="s">
        <v>59</v>
      </c>
      <c r="D39" s="51"/>
      <c r="E39" s="117">
        <f>SUM(F39:Q39)</f>
        <v>1990800</v>
      </c>
      <c r="F39" s="118"/>
      <c r="G39" s="119"/>
      <c r="H39" s="119">
        <v>240000</v>
      </c>
      <c r="I39" s="119">
        <v>265000</v>
      </c>
      <c r="J39" s="119">
        <v>613000</v>
      </c>
      <c r="K39" s="119">
        <v>0</v>
      </c>
      <c r="L39" s="118">
        <v>210000</v>
      </c>
      <c r="M39" s="119">
        <v>210000</v>
      </c>
      <c r="N39" s="119">
        <v>0</v>
      </c>
      <c r="O39" s="119"/>
      <c r="P39" s="119">
        <v>452800</v>
      </c>
      <c r="Q39" s="120"/>
      <c r="R39" s="118"/>
      <c r="S39" s="119">
        <v>85800</v>
      </c>
      <c r="T39" s="119">
        <v>1492200</v>
      </c>
      <c r="U39" s="119">
        <v>220000</v>
      </c>
      <c r="V39" s="119">
        <v>700000</v>
      </c>
      <c r="W39" s="119">
        <v>186000</v>
      </c>
      <c r="X39" s="118"/>
      <c r="Y39" s="119">
        <v>1611800</v>
      </c>
      <c r="Z39" s="119">
        <v>1625000</v>
      </c>
      <c r="AA39" s="119">
        <v>622800</v>
      </c>
      <c r="AB39" s="119"/>
      <c r="AC39" s="121"/>
      <c r="AD39" s="122"/>
      <c r="AE39" s="123">
        <f>SUM(R39:AC39)</f>
        <v>6543600</v>
      </c>
      <c r="AG39" s="208" t="s">
        <v>112</v>
      </c>
      <c r="AH39" s="209">
        <v>133</v>
      </c>
      <c r="AI39" s="216">
        <f>(AI17+AI22)/10000</f>
        <v>103.62569999999999</v>
      </c>
      <c r="AJ39" s="215">
        <f>ABS(AH39-AI39)</f>
        <v>29.374300000000005</v>
      </c>
      <c r="AK39" s="193"/>
      <c r="AL39" s="213"/>
    </row>
    <row r="41" spans="2:38" ht="14.25" x14ac:dyDescent="0.15">
      <c r="AG41" s="220" t="s">
        <v>107</v>
      </c>
      <c r="AH41" s="220"/>
      <c r="AI41" s="211">
        <f>COUNTA(R15:AC15)</f>
        <v>10</v>
      </c>
    </row>
    <row r="42" spans="2:38" ht="14.25" x14ac:dyDescent="0.15">
      <c r="AG42" s="210" t="s">
        <v>108</v>
      </c>
      <c r="AH42" s="210"/>
      <c r="AI42" s="212">
        <f>AI41/12</f>
        <v>0.83333333333333337</v>
      </c>
      <c r="AJ42" s="213">
        <f>1-AI42</f>
        <v>0.16666666666666663</v>
      </c>
    </row>
    <row r="43" spans="2:38" ht="14.25" x14ac:dyDescent="0.15">
      <c r="AG43" s="219" t="s">
        <v>109</v>
      </c>
      <c r="AH43" s="219"/>
      <c r="AI43" s="212">
        <f>AI38/AH38</f>
        <v>0.57541899441340782</v>
      </c>
      <c r="AJ43" s="213">
        <f t="shared" ref="AJ43:AJ44" si="45">1-AI43</f>
        <v>0.42458100558659218</v>
      </c>
    </row>
    <row r="44" spans="2:38" ht="14.25" x14ac:dyDescent="0.15">
      <c r="AG44" s="218" t="s">
        <v>110</v>
      </c>
      <c r="AH44" s="218"/>
      <c r="AI44" s="212">
        <f>AI39/AH39</f>
        <v>0.77914060150375941</v>
      </c>
      <c r="AJ44" s="213">
        <f t="shared" si="45"/>
        <v>0.22085939849624059</v>
      </c>
    </row>
  </sheetData>
  <protectedRanges>
    <protectedRange sqref="C3:C4 I3:I4 L3" name="Range3"/>
    <protectedRange sqref="F15:AC17 F19:AC19" name="Range1"/>
    <protectedRange sqref="F20:AC39" name="Range2"/>
  </protectedRanges>
  <mergeCells count="51">
    <mergeCell ref="AG42:AH42"/>
    <mergeCell ref="AG43:AH43"/>
    <mergeCell ref="AG44:AH44"/>
    <mergeCell ref="AH13:AH14"/>
    <mergeCell ref="AI13:AI14"/>
    <mergeCell ref="AG41:AH41"/>
    <mergeCell ref="B15:B19"/>
    <mergeCell ref="B30:B34"/>
    <mergeCell ref="V13:V14"/>
    <mergeCell ref="W13:W14"/>
    <mergeCell ref="X13:X14"/>
    <mergeCell ref="P13:P14"/>
    <mergeCell ref="Q13:Q14"/>
    <mergeCell ref="R13:R14"/>
    <mergeCell ref="S13:S14"/>
    <mergeCell ref="N13:N14"/>
    <mergeCell ref="O13:O14"/>
    <mergeCell ref="K13:K14"/>
    <mergeCell ref="L13:L14"/>
    <mergeCell ref="M13:M14"/>
    <mergeCell ref="B25:B29"/>
    <mergeCell ref="B20:B24"/>
    <mergeCell ref="B35:B39"/>
    <mergeCell ref="AB13:AB14"/>
    <mergeCell ref="AC13:AC14"/>
    <mergeCell ref="B12:E12"/>
    <mergeCell ref="F12:Q12"/>
    <mergeCell ref="R12:AE12"/>
    <mergeCell ref="B13:B14"/>
    <mergeCell ref="C13:C14"/>
    <mergeCell ref="D13:E14"/>
    <mergeCell ref="F13:F14"/>
    <mergeCell ref="G13:G14"/>
    <mergeCell ref="H13:H14"/>
    <mergeCell ref="I13:I14"/>
    <mergeCell ref="T13:T14"/>
    <mergeCell ref="U13:U14"/>
    <mergeCell ref="J13:J14"/>
    <mergeCell ref="AE13:AE14"/>
    <mergeCell ref="Y13:Y14"/>
    <mergeCell ref="Z13:Z14"/>
    <mergeCell ref="AA13:AA14"/>
    <mergeCell ref="B1:B2"/>
    <mergeCell ref="C1:AE2"/>
    <mergeCell ref="D3:F3"/>
    <mergeCell ref="J3:K3"/>
    <mergeCell ref="L3:M3"/>
    <mergeCell ref="N3:AE4"/>
    <mergeCell ref="D4:F4"/>
    <mergeCell ref="J4:K4"/>
    <mergeCell ref="L4:M4"/>
  </mergeCells>
  <phoneticPr fontId="2" type="noConversion"/>
  <pageMargins left="0.7" right="0.7" top="0.75" bottom="0.75" header="0.3" footer="0.3"/>
  <pageSetup paperSize="9" orientation="portrait" verticalDpi="0" r:id="rId1"/>
  <ignoredErrors>
    <ignoredError sqref="AE38 E38" formula="1"/>
    <ignoredError sqref="E15:E17 E30:E31 E35:E37 E39 AE15:AE17 AE30:AE32 AE35:AE37 AE39 E25:E28 E20:E22 E32 AI4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运的部份</vt:lpstr>
      <vt:lpstr>财的部份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russellhung</dc:creator>
  <cp:lastModifiedBy>russellhung</cp:lastModifiedBy>
  <dcterms:created xsi:type="dcterms:W3CDTF">2018-04-30T19:32:10Z</dcterms:created>
  <dcterms:modified xsi:type="dcterms:W3CDTF">2019-11-06T19:18:06Z</dcterms:modified>
</cp:coreProperties>
</file>